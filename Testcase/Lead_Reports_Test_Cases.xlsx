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Drill-down Verification" sheetId="3" state="visible" r:id="rId3"/>
    <sheet name="Clickable Map" sheetId="4" state="visible" r:id="rId4"/>
    <sheet name="Observations" sheetId="5" state="visible" r:id="rId5"/>
  </sheets>
  <definedNames>
    <definedName name="_xlnm._FilterDatabase" localSheetId="1" hidden="1">'Test Cases'!$A$1:$M$167</definedName>
    <definedName name="_xlnm.Print_Titles" localSheetId="1">'Test Cases'!$1:$1</definedName>
    <definedName name="_xlnm._FilterDatabase" localSheetId="2" hidden="1">'Drill-down Verification'!$A$1:$O$180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4"/>
    </font>
    <font>
      <name val="Arial"/>
      <b val="1"/>
      <sz val="10"/>
    </font>
    <font>
      <name val="Arial"/>
      <color rgb="00000000"/>
      <sz val="10"/>
    </font>
    <font>
      <name val="Arial"/>
      <b val="1"/>
      <color rgb="00000000"/>
      <sz val="10"/>
    </font>
    <font>
      <name val="Arial"/>
      <i val="1"/>
      <sz val="10"/>
    </font>
  </fonts>
  <fills count="9">
    <fill>
      <patternFill/>
    </fill>
    <fill>
      <patternFill patternType="gray125"/>
    </fill>
    <fill>
      <patternFill patternType="solid">
        <fgColor rgb="0012465B"/>
      </patternFill>
    </fill>
    <fill>
      <patternFill patternType="solid">
        <fgColor rgb="00F4B183"/>
      </patternFill>
    </fill>
    <fill>
      <patternFill patternType="solid">
        <fgColor rgb="00FFE699"/>
      </patternFill>
    </fill>
    <fill>
      <patternFill patternType="solid">
        <fgColor rgb="00D9D9D9"/>
      </patternFill>
    </fill>
    <fill>
      <patternFill patternType="solid">
        <fgColor rgb="00FCE4D6"/>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1" pivotButton="0" quotePrefix="0" xfId="0"/>
    <xf numFmtId="0" fontId="5" fillId="0" borderId="1" pivotButton="0" quotePrefix="0" xfId="0"/>
    <xf numFmtId="0" fontId="6" fillId="0" borderId="1"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0" pivotButton="0" quotePrefix="0" xfId="0"/>
    <xf numFmtId="0" fontId="2" fillId="0" borderId="1" pivotButton="0" quotePrefix="0" xfId="0"/>
    <xf numFmtId="0" fontId="2" fillId="7" borderId="1" applyAlignment="1" pivotButton="0" quotePrefix="0" xfId="0">
      <alignment vertical="top" wrapText="1"/>
    </xf>
    <xf numFmtId="0" fontId="7" fillId="0" borderId="0"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0" customWidth="1" min="1" max="1"/>
    <col width="70" customWidth="1" min="2" max="2"/>
    <col width="10" customWidth="1" min="3" max="3"/>
    <col width="10" customWidth="1" min="4" max="4"/>
    <col width="10" customWidth="1" min="5" max="5"/>
  </cols>
  <sheetData>
    <row r="1">
      <c r="A1" s="1" t="inlineStr">
        <is>
          <t>Lead Reports — Test Cases</t>
        </is>
      </c>
    </row>
    <row r="3">
      <c r="A3" s="2" t="inlineStr">
        <is>
          <t>Page</t>
        </is>
      </c>
      <c r="B3" s="3" t="inlineStr">
        <is>
          <t>https://qa-crm.asquareab.com/reports/leads</t>
        </is>
      </c>
    </row>
    <row r="4">
      <c r="A4" s="2" t="inlineStr">
        <is>
          <t>Build</t>
        </is>
      </c>
      <c r="B4" s="3" t="inlineStr">
        <is>
          <t>v1.0 0510-44</t>
        </is>
      </c>
    </row>
    <row r="5">
      <c r="A5" s="2" t="inlineStr">
        <is>
          <t>Explored on</t>
        </is>
      </c>
      <c r="B5" s="3" t="inlineStr">
        <is>
          <t>13-Oct-2026 (CRM Administrator, QA data)</t>
        </is>
      </c>
    </row>
    <row r="6">
      <c r="A6" s="2" t="inlineStr">
        <is>
          <t>Scope</t>
        </is>
      </c>
      <c r="B6" s="3" t="inlineStr">
        <is>
          <t>Header filters and views, 5 tabs, every KPI card, chart, table, count link, drill-down list and export</t>
        </is>
      </c>
    </row>
    <row r="7">
      <c r="A7" s="2" t="inlineStr">
        <is>
          <t>How to use</t>
        </is>
      </c>
      <c r="B7" s="3" t="inlineStr">
        <is>
          <t>Fill "Status" (Pass / Fail / Blocked / Not Applicable) and "Remarks" on the Test Cases sheet; counts below update automatically.</t>
        </is>
      </c>
    </row>
    <row r="8">
      <c r="A8" s="2" t="inlineStr">
        <is>
          <t>Note</t>
        </is>
      </c>
      <c r="B8" s="3" t="inlineStr">
        <is>
          <t>"Observed" values were read from QA on the exploration date; data changes over time, so re-read figures when executing. Drill-down links were executed on 13-Oct-2026 (Status = Pass on those test cases).</t>
        </is>
      </c>
    </row>
    <row r="10">
      <c r="A10" s="4" t="inlineStr">
        <is>
          <t>By tab</t>
        </is>
      </c>
      <c r="B10" s="4" t="inlineStr">
        <is>
          <t>Test cases</t>
        </is>
      </c>
      <c r="C10" s="4" t="inlineStr">
        <is>
          <t>High</t>
        </is>
      </c>
      <c r="D10" s="4" t="inlineStr">
        <is>
          <t>Pass</t>
        </is>
      </c>
      <c r="E10" s="4" t="inlineStr">
        <is>
          <t>Fail</t>
        </is>
      </c>
    </row>
    <row r="11">
      <c r="A11" s="5" t="inlineStr">
        <is>
          <t>General</t>
        </is>
      </c>
      <c r="B11" s="5">
        <f>COUNTIF('Test Cases'!$B$2:$B$167,A11)</f>
        <v/>
      </c>
      <c r="C11" s="5">
        <f>COUNTIFS('Test Cases'!$B$2:$B$167,A11,'Test Cases'!$K$2:$K$167,"High")</f>
        <v/>
      </c>
      <c r="D11" s="5">
        <f>COUNTIFS('Test Cases'!$B$2:$B$167,A11,'Test Cases'!$L$2:$L$167,"Pass")</f>
        <v/>
      </c>
      <c r="E11" s="5">
        <f>COUNTIFS('Test Cases'!$B$2:$B$167,A11,'Test Cases'!$L$2:$L$167,"Fail")</f>
        <v/>
      </c>
    </row>
    <row r="12">
      <c r="A12" s="5" t="inlineStr">
        <is>
          <t>Tabs</t>
        </is>
      </c>
      <c r="B12" s="5">
        <f>COUNTIF('Test Cases'!$B$2:$B$167,A12)</f>
        <v/>
      </c>
      <c r="C12" s="5">
        <f>COUNTIFS('Test Cases'!$B$2:$B$167,A12,'Test Cases'!$K$2:$K$167,"High")</f>
        <v/>
      </c>
      <c r="D12" s="5">
        <f>COUNTIFS('Test Cases'!$B$2:$B$167,A12,'Test Cases'!$L$2:$L$167,"Pass")</f>
        <v/>
      </c>
      <c r="E12" s="5">
        <f>COUNTIFS('Test Cases'!$B$2:$B$167,A12,'Test Cases'!$L$2:$L$167,"Fail")</f>
        <v/>
      </c>
    </row>
    <row r="13">
      <c r="A13" s="5" t="inlineStr">
        <is>
          <t>Filters</t>
        </is>
      </c>
      <c r="B13" s="5">
        <f>COUNTIF('Test Cases'!$B$2:$B$167,A13)</f>
        <v/>
      </c>
      <c r="C13" s="5">
        <f>COUNTIFS('Test Cases'!$B$2:$B$167,A13,'Test Cases'!$K$2:$K$167,"High")</f>
        <v/>
      </c>
      <c r="D13" s="5">
        <f>COUNTIFS('Test Cases'!$B$2:$B$167,A13,'Test Cases'!$L$2:$L$167,"Pass")</f>
        <v/>
      </c>
      <c r="E13" s="5">
        <f>COUNTIFS('Test Cases'!$B$2:$B$167,A13,'Test Cases'!$L$2:$L$167,"Fail")</f>
        <v/>
      </c>
    </row>
    <row r="14">
      <c r="A14" s="5" t="inlineStr">
        <is>
          <t>Views</t>
        </is>
      </c>
      <c r="B14" s="5">
        <f>COUNTIF('Test Cases'!$B$2:$B$167,A14)</f>
        <v/>
      </c>
      <c r="C14" s="5">
        <f>COUNTIFS('Test Cases'!$B$2:$B$167,A14,'Test Cases'!$K$2:$K$167,"High")</f>
        <v/>
      </c>
      <c r="D14" s="5">
        <f>COUNTIFS('Test Cases'!$B$2:$B$167,A14,'Test Cases'!$L$2:$L$167,"Pass")</f>
        <v/>
      </c>
      <c r="E14" s="5">
        <f>COUNTIFS('Test Cases'!$B$2:$B$167,A14,'Test Cases'!$L$2:$L$167,"Fail")</f>
        <v/>
      </c>
    </row>
    <row r="15">
      <c r="A15" s="5" t="inlineStr">
        <is>
          <t>Overview &amp; Funnel</t>
        </is>
      </c>
      <c r="B15" s="5">
        <f>COUNTIF('Test Cases'!$B$2:$B$167,A15)</f>
        <v/>
      </c>
      <c r="C15" s="5">
        <f>COUNTIFS('Test Cases'!$B$2:$B$167,A15,'Test Cases'!$K$2:$K$167,"High")</f>
        <v/>
      </c>
      <c r="D15" s="5">
        <f>COUNTIFS('Test Cases'!$B$2:$B$167,A15,'Test Cases'!$L$2:$L$167,"Pass")</f>
        <v/>
      </c>
      <c r="E15" s="5">
        <f>COUNTIFS('Test Cases'!$B$2:$B$167,A15,'Test Cases'!$L$2:$L$167,"Fail")</f>
        <v/>
      </c>
    </row>
    <row r="16">
      <c r="A16" s="5" t="inlineStr">
        <is>
          <t>Drill-down list</t>
        </is>
      </c>
      <c r="B16" s="5">
        <f>COUNTIF('Test Cases'!$B$2:$B$167,A16)</f>
        <v/>
      </c>
      <c r="C16" s="5">
        <f>COUNTIFS('Test Cases'!$B$2:$B$167,A16,'Test Cases'!$K$2:$K$167,"High")</f>
        <v/>
      </c>
      <c r="D16" s="5">
        <f>COUNTIFS('Test Cases'!$B$2:$B$167,A16,'Test Cases'!$L$2:$L$167,"Pass")</f>
        <v/>
      </c>
      <c r="E16" s="5">
        <f>COUNTIFS('Test Cases'!$B$2:$B$167,A16,'Test Cases'!$L$2:$L$167,"Fail")</f>
        <v/>
      </c>
    </row>
    <row r="17">
      <c r="A17" s="5" t="inlineStr">
        <is>
          <t>Source &amp; Channel</t>
        </is>
      </c>
      <c r="B17" s="5">
        <f>COUNTIF('Test Cases'!$B$2:$B$167,A17)</f>
        <v/>
      </c>
      <c r="C17" s="5">
        <f>COUNTIFS('Test Cases'!$B$2:$B$167,A17,'Test Cases'!$K$2:$K$167,"High")</f>
        <v/>
      </c>
      <c r="D17" s="5">
        <f>COUNTIFS('Test Cases'!$B$2:$B$167,A17,'Test Cases'!$L$2:$L$167,"Pass")</f>
        <v/>
      </c>
      <c r="E17" s="5">
        <f>COUNTIFS('Test Cases'!$B$2:$B$167,A17,'Test Cases'!$L$2:$L$167,"Fail")</f>
        <v/>
      </c>
    </row>
    <row r="18">
      <c r="A18" s="5" t="inlineStr">
        <is>
          <t>Aging &amp; Follow-up</t>
        </is>
      </c>
      <c r="B18" s="5">
        <f>COUNTIF('Test Cases'!$B$2:$B$167,A18)</f>
        <v/>
      </c>
      <c r="C18" s="5">
        <f>COUNTIFS('Test Cases'!$B$2:$B$167,A18,'Test Cases'!$K$2:$K$167,"High")</f>
        <v/>
      </c>
      <c r="D18" s="5">
        <f>COUNTIFS('Test Cases'!$B$2:$B$167,A18,'Test Cases'!$L$2:$L$167,"Pass")</f>
        <v/>
      </c>
      <c r="E18" s="5">
        <f>COUNTIFS('Test Cases'!$B$2:$B$167,A18,'Test Cases'!$L$2:$L$167,"Fail")</f>
        <v/>
      </c>
    </row>
    <row r="19">
      <c r="A19" s="5" t="inlineStr">
        <is>
          <t>Qualification &amp; Conversion</t>
        </is>
      </c>
      <c r="B19" s="5">
        <f>COUNTIF('Test Cases'!$B$2:$B$167,A19)</f>
        <v/>
      </c>
      <c r="C19" s="5">
        <f>COUNTIFS('Test Cases'!$B$2:$B$167,A19,'Test Cases'!$K$2:$K$167,"High")</f>
        <v/>
      </c>
      <c r="D19" s="5">
        <f>COUNTIFS('Test Cases'!$B$2:$B$167,A19,'Test Cases'!$L$2:$L$167,"Pass")</f>
        <v/>
      </c>
      <c r="E19" s="5">
        <f>COUNTIFS('Test Cases'!$B$2:$B$167,A19,'Test Cases'!$L$2:$L$167,"Fail")</f>
        <v/>
      </c>
    </row>
    <row r="20">
      <c r="A20" s="5" t="inlineStr">
        <is>
          <t>Salesperson Scorecard</t>
        </is>
      </c>
      <c r="B20" s="5">
        <f>COUNTIF('Test Cases'!$B$2:$B$167,A20)</f>
        <v/>
      </c>
      <c r="C20" s="5">
        <f>COUNTIFS('Test Cases'!$B$2:$B$167,A20,'Test Cases'!$K$2:$K$167,"High")</f>
        <v/>
      </c>
      <c r="D20" s="5">
        <f>COUNTIFS('Test Cases'!$B$2:$B$167,A20,'Test Cases'!$L$2:$L$167,"Pass")</f>
        <v/>
      </c>
      <c r="E20" s="5">
        <f>COUNTIFS('Test Cases'!$B$2:$B$167,A20,'Test Cases'!$L$2:$L$167,"Fail")</f>
        <v/>
      </c>
    </row>
    <row r="21">
      <c r="A21" s="5" t="inlineStr">
        <is>
          <t>Cross-page &amp; non-functional</t>
        </is>
      </c>
      <c r="B21" s="5">
        <f>COUNTIF('Test Cases'!$B$2:$B$167,A21)</f>
        <v/>
      </c>
      <c r="C21" s="5">
        <f>COUNTIFS('Test Cases'!$B$2:$B$167,A21,'Test Cases'!$K$2:$K$167,"High")</f>
        <v/>
      </c>
      <c r="D21" s="5">
        <f>COUNTIFS('Test Cases'!$B$2:$B$167,A21,'Test Cases'!$L$2:$L$167,"Pass")</f>
        <v/>
      </c>
      <c r="E21" s="5">
        <f>COUNTIFS('Test Cases'!$B$2:$B$167,A21,'Test Cases'!$L$2:$L$167,"Fail")</f>
        <v/>
      </c>
    </row>
    <row r="22">
      <c r="A22" s="6" t="inlineStr">
        <is>
          <t>Total</t>
        </is>
      </c>
      <c r="B22" s="6">
        <f>SUM(B11:B21)</f>
        <v/>
      </c>
      <c r="C22" s="6">
        <f>SUM(C11:C21)</f>
        <v/>
      </c>
      <c r="D22" s="6">
        <f>SUM(D11:D21)</f>
        <v/>
      </c>
      <c r="E22" s="6">
        <f>SUM(E11:E21)</f>
        <v/>
      </c>
    </row>
    <row r="24">
      <c r="A24" s="4" t="inlineStr">
        <is>
          <t>By type</t>
        </is>
      </c>
      <c r="B24" s="4" t="inlineStr">
        <is>
          <t>Test cases</t>
        </is>
      </c>
    </row>
    <row r="25">
      <c r="A25" s="5" t="inlineStr">
        <is>
          <t>Navigation</t>
        </is>
      </c>
      <c r="B25" s="5">
        <f>COUNTIF('Test Cases'!$J$2:$J$167,A25)</f>
        <v/>
      </c>
    </row>
    <row r="26">
      <c r="A26" s="5" t="inlineStr">
        <is>
          <t>Security</t>
        </is>
      </c>
      <c r="B26" s="5">
        <f>COUNTIF('Test Cases'!$J$2:$J$167,A26)</f>
        <v/>
      </c>
    </row>
    <row r="27">
      <c r="A27" s="5" t="inlineStr">
        <is>
          <t>Non-functional</t>
        </is>
      </c>
      <c r="B27" s="5">
        <f>COUNTIF('Test Cases'!$J$2:$J$167,A27)</f>
        <v/>
      </c>
    </row>
    <row r="28">
      <c r="A28" s="5" t="inlineStr">
        <is>
          <t>UI</t>
        </is>
      </c>
      <c r="B28" s="5">
        <f>COUNTIF('Test Cases'!$J$2:$J$167,A28)</f>
        <v/>
      </c>
    </row>
    <row r="29">
      <c r="A29" s="5" t="inlineStr">
        <is>
          <t>Negative</t>
        </is>
      </c>
      <c r="B29" s="5">
        <f>COUNTIF('Test Cases'!$J$2:$J$167,A29)</f>
        <v/>
      </c>
    </row>
    <row r="30">
      <c r="A30" s="5" t="inlineStr">
        <is>
          <t>Functional</t>
        </is>
      </c>
      <c r="B30" s="5">
        <f>COUNTIF('Test Cases'!$J$2:$J$167,A30)</f>
        <v/>
      </c>
    </row>
    <row r="31">
      <c r="A31" s="5" t="inlineStr">
        <is>
          <t>Accessibility</t>
        </is>
      </c>
      <c r="B31" s="5">
        <f>COUNTIF('Test Cases'!$J$2:$J$167,A31)</f>
        <v/>
      </c>
    </row>
    <row r="32">
      <c r="A32" s="5" t="inlineStr">
        <is>
          <t>Data</t>
        </is>
      </c>
      <c r="B32" s="5">
        <f>COUNTIF('Test Cases'!$J$2:$J$167,A32)</f>
        <v/>
      </c>
    </row>
    <row r="34">
      <c r="A34" s="4" t="inlineStr">
        <is>
          <t>By priority</t>
        </is>
      </c>
      <c r="B34" s="4" t="inlineStr">
        <is>
          <t>Test cases</t>
        </is>
      </c>
    </row>
    <row r="35">
      <c r="A35" s="5" t="inlineStr">
        <is>
          <t>High</t>
        </is>
      </c>
      <c r="B35" s="5">
        <f>COUNTIF('Test Cases'!$K$2:$K$167,A35)</f>
        <v/>
      </c>
    </row>
    <row r="36">
      <c r="A36" s="5" t="inlineStr">
        <is>
          <t>Medium</t>
        </is>
      </c>
      <c r="B36" s="5">
        <f>COUNTIF('Test Cases'!$K$2:$K$167,A36)</f>
        <v/>
      </c>
    </row>
    <row r="37">
      <c r="A37" s="5" t="inlineStr">
        <is>
          <t>Low</t>
        </is>
      </c>
      <c r="B37" s="5">
        <f>COUNTIF('Test Cases'!$K$2:$K$167,A37)</f>
        <v/>
      </c>
    </row>
    <row r="39">
      <c r="A39" s="4" t="inlineStr">
        <is>
          <t>Execution status</t>
        </is>
      </c>
      <c r="B39" s="4" t="inlineStr">
        <is>
          <t>Test cases</t>
        </is>
      </c>
    </row>
    <row r="40">
      <c r="A40" s="5" t="inlineStr">
        <is>
          <t>Not Started</t>
        </is>
      </c>
      <c r="B40" s="5">
        <f>COUNTIF('Test Cases'!$L$2:$L$167,A40)</f>
        <v/>
      </c>
    </row>
    <row r="41">
      <c r="A41" s="5" t="inlineStr">
        <is>
          <t>Pass</t>
        </is>
      </c>
      <c r="B41" s="5">
        <f>COUNTIF('Test Cases'!$L$2:$L$167,A41)</f>
        <v/>
      </c>
    </row>
    <row r="42">
      <c r="A42" s="5" t="inlineStr">
        <is>
          <t>Fail</t>
        </is>
      </c>
      <c r="B42" s="5">
        <f>COUNTIF('Test Cases'!$L$2:$L$167,A42)</f>
        <v/>
      </c>
    </row>
    <row r="43">
      <c r="A43" s="5" t="inlineStr">
        <is>
          <t>Blocked</t>
        </is>
      </c>
      <c r="B43" s="5">
        <f>COUNTIF('Test Cases'!$L$2:$L$167,A43)</f>
        <v/>
      </c>
    </row>
    <row r="44">
      <c r="A44" s="5" t="inlineStr">
        <is>
          <t>Not Applicable</t>
        </is>
      </c>
      <c r="B44" s="5">
        <f>COUNTIF('Test Cases'!$L$2:$L$167,A44)</f>
        <v/>
      </c>
    </row>
    <row r="46">
      <c r="A46" s="5" t="inlineStr">
        <is>
          <t>Observations</t>
        </is>
      </c>
      <c r="B46" s="5">
        <f>COUNTA(Observations!$A$2:$A$13)</f>
        <v/>
      </c>
    </row>
    <row r="48">
      <c r="A48" s="13" t="inlineStr">
        <is>
          <t>Drill-down verification</t>
        </is>
      </c>
      <c r="B48" s="13" t="inlineStr">
        <is>
          <t>Count</t>
        </is>
      </c>
    </row>
    <row r="49">
      <c r="A49" s="14" t="inlineStr">
        <is>
          <t>Count links checked</t>
        </is>
      </c>
      <c r="B49" s="14">
        <f>COUNTA('Drill-down Verification'!$N$2:$N$180)</f>
        <v/>
      </c>
    </row>
    <row r="50">
      <c r="A50" s="14" t="inlineStr">
        <is>
          <t>Consistent (Pass)</t>
        </is>
      </c>
      <c r="B50" s="14">
        <f>COUNTIF('Drill-down Verification'!$N$2:$N$180,"Pass")</f>
        <v/>
      </c>
    </row>
    <row r="51">
      <c r="A51" s="14" t="inlineStr">
        <is>
          <t>Inconsistent (Fail)</t>
        </is>
      </c>
      <c r="B51" s="14">
        <f>COUNTIF('Drill-down Verification'!$N$2:$N$180,"Fail")</f>
        <v/>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16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18" customWidth="1" min="3" max="3"/>
    <col width="36" customWidth="1" min="4" max="4"/>
    <col width="28" customWidth="1" min="5" max="5"/>
    <col width="42" customWidth="1" min="6" max="6"/>
    <col width="18" customWidth="1" min="7" max="7"/>
    <col width="50" customWidth="1" min="8" max="8"/>
    <col width="40" customWidth="1" min="9" max="9"/>
    <col width="13" customWidth="1" min="10" max="10"/>
    <col width="9" customWidth="1" min="11" max="11"/>
    <col width="12" customWidth="1" min="12" max="12"/>
    <col width="22" customWidth="1" min="13" max="13"/>
  </cols>
  <sheetData>
    <row r="1">
      <c r="A1" s="7" t="inlineStr">
        <is>
          <t>TC ID</t>
        </is>
      </c>
      <c r="B1" s="7" t="inlineStr">
        <is>
          <t>Tab</t>
        </is>
      </c>
      <c r="C1" s="7" t="inlineStr">
        <is>
          <t>Component</t>
        </is>
      </c>
      <c r="D1" s="7" t="inlineStr">
        <is>
          <t>Test Case</t>
        </is>
      </c>
      <c r="E1" s="7" t="inlineStr">
        <is>
          <t>Preconditions</t>
        </is>
      </c>
      <c r="F1" s="7" t="inlineStr">
        <is>
          <t>Test Steps</t>
        </is>
      </c>
      <c r="G1" s="7" t="inlineStr">
        <is>
          <t>Test Data</t>
        </is>
      </c>
      <c r="H1" s="7" t="inlineStr">
        <is>
          <t>Expected Result</t>
        </is>
      </c>
      <c r="I1" s="7" t="inlineStr">
        <is>
          <t>Observed (13-Oct-2026, build v1.0 0510-44)</t>
        </is>
      </c>
      <c r="J1" s="7" t="inlineStr">
        <is>
          <t>Type</t>
        </is>
      </c>
      <c r="K1" s="7" t="inlineStr">
        <is>
          <t>Priority</t>
        </is>
      </c>
      <c r="L1" s="7" t="inlineStr">
        <is>
          <t>Status</t>
        </is>
      </c>
      <c r="M1" s="7" t="inlineStr">
        <is>
          <t>Remarks</t>
        </is>
      </c>
    </row>
    <row r="2">
      <c r="A2" s="8" t="inlineStr">
        <is>
          <t>LR-001</t>
        </is>
      </c>
      <c r="B2" s="8" t="inlineStr">
        <is>
          <t>General</t>
        </is>
      </c>
      <c r="C2" s="8" t="inlineStr">
        <is>
          <t>Navigation</t>
        </is>
      </c>
      <c r="D2" s="8" t="inlineStr">
        <is>
          <t>Open Lead Reports from the Reports &amp; Analytics hub card</t>
        </is>
      </c>
      <c r="E2" s="8" t="inlineStr">
        <is>
          <t>Logged in as CRM Administrator</t>
        </is>
      </c>
      <c r="F2" s="8" t="inlineStr">
        <is>
          <t>1. Open /reports-analytics
2. Click the "Lead Reports" card (LIVE)</t>
        </is>
      </c>
      <c r="G2" s="8" t="inlineStr"/>
      <c r="H2" s="8" t="inlineStr">
        <is>
          <t>URL is /reports/leads; heading "Lead Reports"; intro "Funnel, source, aging, qualification and conversion…"; Overview &amp; Funnel tab is active</t>
        </is>
      </c>
      <c r="I2" s="8" t="inlineStr">
        <is>
          <t>As expected</t>
        </is>
      </c>
      <c r="J2" s="8" t="inlineStr">
        <is>
          <t>Navigation</t>
        </is>
      </c>
      <c r="K2" s="9" t="inlineStr">
        <is>
          <t>High</t>
        </is>
      </c>
      <c r="L2" s="8" t="inlineStr">
        <is>
          <t>Not Started</t>
        </is>
      </c>
      <c r="M2" s="8" t="inlineStr"/>
    </row>
    <row r="3">
      <c r="A3" s="8" t="inlineStr">
        <is>
          <t>LR-002</t>
        </is>
      </c>
      <c r="B3" s="8" t="inlineStr">
        <is>
          <t>General</t>
        </is>
      </c>
      <c r="C3" s="8" t="inlineStr">
        <is>
          <t>Navigation</t>
        </is>
      </c>
      <c r="D3" s="8" t="inlineStr">
        <is>
          <t>Open Lead Reports directly by URL</t>
        </is>
      </c>
      <c r="E3" s="8" t="inlineStr">
        <is>
          <t>Logged in as CRM Administrator</t>
        </is>
      </c>
      <c r="F3" s="8" t="inlineStr">
        <is>
          <t>1. Enter https://qa-crm.asquareab.com/reports/leads in the browser</t>
        </is>
      </c>
      <c r="G3" s="8" t="inlineStr"/>
      <c r="H3" s="8" t="inlineStr">
        <is>
          <t>Page loads with all KPI cards, Lead Funnel, Data Completeness and 12-Month Trend; no error</t>
        </is>
      </c>
      <c r="I3" s="8" t="inlineStr">
        <is>
          <t>As expected</t>
        </is>
      </c>
      <c r="J3" s="8" t="inlineStr">
        <is>
          <t>Navigation</t>
        </is>
      </c>
      <c r="K3" s="9" t="inlineStr">
        <is>
          <t>High</t>
        </is>
      </c>
      <c r="L3" s="8" t="inlineStr">
        <is>
          <t>Not Started</t>
        </is>
      </c>
      <c r="M3" s="8" t="inlineStr"/>
    </row>
    <row r="4">
      <c r="A4" s="8" t="inlineStr">
        <is>
          <t>LR-003</t>
        </is>
      </c>
      <c r="B4" s="8" t="inlineStr">
        <is>
          <t>General</t>
        </is>
      </c>
      <c r="C4" s="8" t="inlineStr">
        <is>
          <t>Breadcrumb</t>
        </is>
      </c>
      <c r="D4" s="8" t="inlineStr">
        <is>
          <t>"REPORTS &amp; ANALYTICS" breadcrumb returns to the hub</t>
        </is>
      </c>
      <c r="E4" s="8" t="inlineStr">
        <is>
          <t>Logged in as CRM Administrator; Lead Reports open (https://qa-crm.asquareab.com/reports/leads)</t>
        </is>
      </c>
      <c r="F4" s="8" t="inlineStr">
        <is>
          <t>1. Click "REPORTS &amp; ANALYTICS" above the page heading</t>
        </is>
      </c>
      <c r="G4" s="8" t="inlineStr"/>
      <c r="H4" s="8" t="inlineStr">
        <is>
          <t>Reports &amp; Analytics hub (/reports-analytics) opens</t>
        </is>
      </c>
      <c r="I4" s="8" t="inlineStr">
        <is>
          <t>As expected</t>
        </is>
      </c>
      <c r="J4" s="8" t="inlineStr">
        <is>
          <t>Navigation</t>
        </is>
      </c>
      <c r="K4" s="10" t="inlineStr">
        <is>
          <t>Medium</t>
        </is>
      </c>
      <c r="L4" s="8" t="inlineStr">
        <is>
          <t>Not Started</t>
        </is>
      </c>
      <c r="M4" s="8" t="inlineStr"/>
    </row>
    <row r="5">
      <c r="A5" s="8" t="inlineStr">
        <is>
          <t>LR-004</t>
        </is>
      </c>
      <c r="B5" s="8" t="inlineStr">
        <is>
          <t>General</t>
        </is>
      </c>
      <c r="C5" s="8" t="inlineStr">
        <is>
          <t>Security</t>
        </is>
      </c>
      <c r="D5" s="8" t="inlineStr">
        <is>
          <t>Lead Reports requires a login</t>
        </is>
      </c>
      <c r="E5" s="8" t="inlineStr">
        <is>
          <t>Not logged in</t>
        </is>
      </c>
      <c r="F5" s="8" t="inlineStr">
        <is>
          <t>1. Log out (or open a private window)
2. Open https://qa-crm.asquareab.com/reports/leads</t>
        </is>
      </c>
      <c r="G5" s="8" t="inlineStr"/>
      <c r="H5" s="8" t="inlineStr">
        <is>
          <t>User is redirected to the login page; no report data is shown</t>
        </is>
      </c>
      <c r="I5" s="8" t="inlineStr">
        <is>
          <t>Covered by automated test RA-085</t>
        </is>
      </c>
      <c r="J5" s="8" t="inlineStr">
        <is>
          <t>Security</t>
        </is>
      </c>
      <c r="K5" s="9" t="inlineStr">
        <is>
          <t>High</t>
        </is>
      </c>
      <c r="L5" s="8" t="inlineStr">
        <is>
          <t>Not Started</t>
        </is>
      </c>
      <c r="M5" s="8" t="inlineStr"/>
    </row>
    <row r="6">
      <c r="A6" s="8" t="inlineStr">
        <is>
          <t>LR-005</t>
        </is>
      </c>
      <c r="B6" s="8" t="inlineStr">
        <is>
          <t>General</t>
        </is>
      </c>
      <c r="C6" s="8" t="inlineStr">
        <is>
          <t>Page load</t>
        </is>
      </c>
      <c r="D6" s="8" t="inlineStr">
        <is>
          <t>Page loads without errors or broken values</t>
        </is>
      </c>
      <c r="E6" s="8" t="inlineStr">
        <is>
          <t>Logged in as CRM Administrator; Lead Reports open (https://qa-crm.asquareab.com/reports/leads)</t>
        </is>
      </c>
      <c r="F6" s="8" t="inlineStr">
        <is>
          <t>1. Open Lead Reports with DevTools (Console, Network) open</t>
        </is>
      </c>
      <c r="G6" s="8" t="inlineStr"/>
      <c r="H6" s="8" t="inlineStr">
        <is>
          <t>No JavaScript errors; no failed API calls; no NaN / undefined / blank values</t>
        </is>
      </c>
      <c r="I6" s="8" t="inlineStr">
        <is>
          <t>As expected</t>
        </is>
      </c>
      <c r="J6" s="8" t="inlineStr">
        <is>
          <t>Non-functional</t>
        </is>
      </c>
      <c r="K6" s="9" t="inlineStr">
        <is>
          <t>High</t>
        </is>
      </c>
      <c r="L6" s="8" t="inlineStr">
        <is>
          <t>Not Started</t>
        </is>
      </c>
      <c r="M6" s="8" t="inlineStr"/>
    </row>
    <row r="7">
      <c r="A7" s="8" t="inlineStr">
        <is>
          <t>LR-006</t>
        </is>
      </c>
      <c r="B7" s="8" t="inlineStr">
        <is>
          <t>General</t>
        </is>
      </c>
      <c r="C7" s="8" t="inlineStr">
        <is>
          <t>Help</t>
        </is>
      </c>
      <c r="D7" s="8" t="inlineStr">
        <is>
          <t>"How these numbers are calculated" explains every measure</t>
        </is>
      </c>
      <c r="E7" s="8" t="inlineStr">
        <is>
          <t>Logged in as CRM Administrator; Lead Reports open (https://qa-crm.asquareab.com/reports/leads)</t>
        </is>
      </c>
      <c r="F7" s="8" t="inlineStr">
        <is>
          <t>1. Click "How these numbers are calculated"</t>
        </is>
      </c>
      <c r="G7" s="8" t="inlineStr"/>
      <c r="H7" s="8" t="inlineStr">
        <is>
          <t>Definitions shown for Leads captured, Contacted, Qualified, Opportunity, Reserved, SPA Signed, Won Value, Lost, Open, Idle days, the "now" figures and the View rules</t>
        </is>
      </c>
      <c r="I7" s="8" t="inlineStr">
        <is>
          <t>Expands with all definitions; states that Aging and "now" figures ignore the period</t>
        </is>
      </c>
      <c r="J7" s="8" t="inlineStr">
        <is>
          <t>UI</t>
        </is>
      </c>
      <c r="K7" s="11" t="inlineStr">
        <is>
          <t>Low</t>
        </is>
      </c>
      <c r="L7" s="8" t="inlineStr">
        <is>
          <t>Not Started</t>
        </is>
      </c>
      <c r="M7" s="8" t="inlineStr"/>
    </row>
    <row r="8">
      <c r="A8" s="8" t="inlineStr">
        <is>
          <t>LR-007</t>
        </is>
      </c>
      <c r="B8" s="8" t="inlineStr">
        <is>
          <t>Tabs</t>
        </is>
      </c>
      <c r="C8" s="8" t="inlineStr">
        <is>
          <t>Tab bar</t>
        </is>
      </c>
      <c r="D8" s="8" t="inlineStr">
        <is>
          <t>Overview &amp; Funnel is the default tab</t>
        </is>
      </c>
      <c r="E8" s="8" t="inlineStr">
        <is>
          <t>Logged in as CRM Administrator; Lead Reports open (https://qa-crm.asquareab.com/reports/leads)</t>
        </is>
      </c>
      <c r="F8" s="8" t="inlineStr">
        <is>
          <t>1. Open Lead Reports</t>
        </is>
      </c>
      <c r="G8" s="8" t="inlineStr"/>
      <c r="H8" s="8" t="inlineStr">
        <is>
          <t>Tab bar shows 5 tabs; "Overview &amp; Funnel" is highlighted</t>
        </is>
      </c>
      <c r="I8" s="8" t="inlineStr">
        <is>
          <t>As expected</t>
        </is>
      </c>
      <c r="J8" s="8" t="inlineStr">
        <is>
          <t>UI</t>
        </is>
      </c>
      <c r="K8" s="10" t="inlineStr">
        <is>
          <t>Medium</t>
        </is>
      </c>
      <c r="L8" s="8" t="inlineStr">
        <is>
          <t>Not Started</t>
        </is>
      </c>
      <c r="M8" s="8" t="inlineStr"/>
    </row>
    <row r="9">
      <c r="A9" s="8" t="inlineStr">
        <is>
          <t>LR-008</t>
        </is>
      </c>
      <c r="B9" s="8" t="inlineStr">
        <is>
          <t>Tabs</t>
        </is>
      </c>
      <c r="C9" s="8" t="inlineStr">
        <is>
          <t>Tab bar</t>
        </is>
      </c>
      <c r="D9" s="8" t="inlineStr">
        <is>
          <t>Open the "Source &amp; Channel" tab</t>
        </is>
      </c>
      <c r="E9" s="8" t="inlineStr">
        <is>
          <t>Logged in as CRM Administrator; Lead Reports open (https://qa-crm.asquareab.com/reports/leads)</t>
        </is>
      </c>
      <c r="F9" s="8" t="inlineStr">
        <is>
          <t>1. Click "Source &amp; Channel"</t>
        </is>
      </c>
      <c r="G9" s="8" t="inlineStr"/>
      <c r="H9" s="8" t="inlineStr">
        <is>
          <t>URL becomes ?tab=source; tab is highlighted; its sections load (API /reports/leads/breakdown)</t>
        </is>
      </c>
      <c r="I9" s="8" t="inlineStr">
        <is>
          <t>As expected</t>
        </is>
      </c>
      <c r="J9" s="8" t="inlineStr">
        <is>
          <t>Navigation</t>
        </is>
      </c>
      <c r="K9" s="9" t="inlineStr">
        <is>
          <t>High</t>
        </is>
      </c>
      <c r="L9" s="8" t="inlineStr">
        <is>
          <t>Not Started</t>
        </is>
      </c>
      <c r="M9" s="8" t="inlineStr"/>
    </row>
    <row r="10">
      <c r="A10" s="8" t="inlineStr">
        <is>
          <t>LR-009</t>
        </is>
      </c>
      <c r="B10" s="8" t="inlineStr">
        <is>
          <t>Tabs</t>
        </is>
      </c>
      <c r="C10" s="8" t="inlineStr">
        <is>
          <t>Tab bar</t>
        </is>
      </c>
      <c r="D10" s="8" t="inlineStr">
        <is>
          <t>Open the "Aging &amp; Follow-up" tab</t>
        </is>
      </c>
      <c r="E10" s="8" t="inlineStr">
        <is>
          <t>Logged in as CRM Administrator; Lead Reports open (https://qa-crm.asquareab.com/reports/leads)</t>
        </is>
      </c>
      <c r="F10" s="8" t="inlineStr">
        <is>
          <t>1. Click "Aging &amp; Follow-up"</t>
        </is>
      </c>
      <c r="G10" s="8" t="inlineStr"/>
      <c r="H10" s="8" t="inlineStr">
        <is>
          <t>URL becomes ?tab=aging; tab is highlighted; its sections load (API /reports/leads/aging)</t>
        </is>
      </c>
      <c r="I10" s="8" t="inlineStr">
        <is>
          <t>As expected</t>
        </is>
      </c>
      <c r="J10" s="8" t="inlineStr">
        <is>
          <t>Navigation</t>
        </is>
      </c>
      <c r="K10" s="9" t="inlineStr">
        <is>
          <t>High</t>
        </is>
      </c>
      <c r="L10" s="8" t="inlineStr">
        <is>
          <t>Not Started</t>
        </is>
      </c>
      <c r="M10" s="8" t="inlineStr"/>
    </row>
    <row r="11">
      <c r="A11" s="8" t="inlineStr">
        <is>
          <t>LR-010</t>
        </is>
      </c>
      <c r="B11" s="8" t="inlineStr">
        <is>
          <t>Tabs</t>
        </is>
      </c>
      <c r="C11" s="8" t="inlineStr">
        <is>
          <t>Tab bar</t>
        </is>
      </c>
      <c r="D11" s="8" t="inlineStr">
        <is>
          <t>Open the "Qualification &amp; Conversion" tab</t>
        </is>
      </c>
      <c r="E11" s="8" t="inlineStr">
        <is>
          <t>Logged in as CRM Administrator; Lead Reports open (https://qa-crm.asquareab.com/reports/leads)</t>
        </is>
      </c>
      <c r="F11" s="8" t="inlineStr">
        <is>
          <t>1. Click "Qualification &amp; Conversion"</t>
        </is>
      </c>
      <c r="G11" s="8" t="inlineStr"/>
      <c r="H11" s="8" t="inlineStr">
        <is>
          <t>URL becomes ?tab=qualification; tab is highlighted; its sections load (API /reports/leads/qualification)</t>
        </is>
      </c>
      <c r="I11" s="8" t="inlineStr">
        <is>
          <t>As expected</t>
        </is>
      </c>
      <c r="J11" s="8" t="inlineStr">
        <is>
          <t>Navigation</t>
        </is>
      </c>
      <c r="K11" s="9" t="inlineStr">
        <is>
          <t>High</t>
        </is>
      </c>
      <c r="L11" s="8" t="inlineStr">
        <is>
          <t>Not Started</t>
        </is>
      </c>
      <c r="M11" s="8" t="inlineStr"/>
    </row>
    <row r="12">
      <c r="A12" s="8" t="inlineStr">
        <is>
          <t>LR-011</t>
        </is>
      </c>
      <c r="B12" s="8" t="inlineStr">
        <is>
          <t>Tabs</t>
        </is>
      </c>
      <c r="C12" s="8" t="inlineStr">
        <is>
          <t>Tab bar</t>
        </is>
      </c>
      <c r="D12" s="8" t="inlineStr">
        <is>
          <t>Open the "Salesperson Scorecard" tab</t>
        </is>
      </c>
      <c r="E12" s="8" t="inlineStr">
        <is>
          <t>Logged in as CRM Administrator; Lead Reports open (https://qa-crm.asquareab.com/reports/leads)</t>
        </is>
      </c>
      <c r="F12" s="8" t="inlineStr">
        <is>
          <t>1. Click "Salesperson Scorecard"</t>
        </is>
      </c>
      <c r="G12" s="8" t="inlineStr"/>
      <c r="H12" s="8" t="inlineStr">
        <is>
          <t>URL becomes ?tab=scorecard; tab is highlighted; its sections load (API /reports/leads/scorecard)</t>
        </is>
      </c>
      <c r="I12" s="8" t="inlineStr">
        <is>
          <t>As expected</t>
        </is>
      </c>
      <c r="J12" s="8" t="inlineStr">
        <is>
          <t>Navigation</t>
        </is>
      </c>
      <c r="K12" s="9" t="inlineStr">
        <is>
          <t>High</t>
        </is>
      </c>
      <c r="L12" s="8" t="inlineStr">
        <is>
          <t>Not Started</t>
        </is>
      </c>
      <c r="M12" s="8" t="inlineStr"/>
    </row>
    <row r="13">
      <c r="A13" s="8" t="inlineStr">
        <is>
          <t>LR-012</t>
        </is>
      </c>
      <c r="B13" s="8" t="inlineStr">
        <is>
          <t>Tabs</t>
        </is>
      </c>
      <c r="C13" s="8" t="inlineStr">
        <is>
          <t>Tab URL</t>
        </is>
      </c>
      <c r="D13" s="8" t="inlineStr">
        <is>
          <t>A tab opens directly from its URL</t>
        </is>
      </c>
      <c r="E13" s="8" t="inlineStr">
        <is>
          <t>Logged in as CRM Administrator; Lead Reports open (https://qa-crm.asquareab.com/reports/leads)</t>
        </is>
      </c>
      <c r="F13" s="8" t="inlineStr">
        <is>
          <t>1. Open https://qa-crm.asquareab.com/reports/leads?tab=aging</t>
        </is>
      </c>
      <c r="G13" s="8" t="inlineStr"/>
      <c r="H13" s="8" t="inlineStr">
        <is>
          <t>Aging &amp; Follow-up tab is active and loaded</t>
        </is>
      </c>
      <c r="I13" s="8" t="inlineStr">
        <is>
          <t>As expected</t>
        </is>
      </c>
      <c r="J13" s="8" t="inlineStr">
        <is>
          <t>Navigation</t>
        </is>
      </c>
      <c r="K13" s="10" t="inlineStr">
        <is>
          <t>Medium</t>
        </is>
      </c>
      <c r="L13" s="8" t="inlineStr">
        <is>
          <t>Not Started</t>
        </is>
      </c>
      <c r="M13" s="8" t="inlineStr"/>
    </row>
    <row r="14">
      <c r="A14" s="8" t="inlineStr">
        <is>
          <t>LR-013</t>
        </is>
      </c>
      <c r="B14" s="8" t="inlineStr">
        <is>
          <t>Tabs</t>
        </is>
      </c>
      <c r="C14" s="8" t="inlineStr">
        <is>
          <t>Tab URL</t>
        </is>
      </c>
      <c r="D14" s="8" t="inlineStr">
        <is>
          <t>Reload keeps the current tab</t>
        </is>
      </c>
      <c r="E14" s="8" t="inlineStr">
        <is>
          <t>Logged in as CRM Administrator; Lead Reports open (https://qa-crm.asquareab.com/reports/leads)</t>
        </is>
      </c>
      <c r="F14" s="8" t="inlineStr">
        <is>
          <t>1. Open Source &amp; Channel
2. Press F5</t>
        </is>
      </c>
      <c r="G14" s="8" t="inlineStr"/>
      <c r="H14" s="8" t="inlineStr">
        <is>
          <t>Source &amp; Channel is still active after reload</t>
        </is>
      </c>
      <c r="I14" s="8" t="inlineStr">
        <is>
          <t>As expected</t>
        </is>
      </c>
      <c r="J14" s="8" t="inlineStr">
        <is>
          <t>Navigation</t>
        </is>
      </c>
      <c r="K14" s="10" t="inlineStr">
        <is>
          <t>Medium</t>
        </is>
      </c>
      <c r="L14" s="8" t="inlineStr">
        <is>
          <t>Not Started</t>
        </is>
      </c>
      <c r="M14" s="8" t="inlineStr"/>
    </row>
    <row r="15">
      <c r="A15" s="8" t="inlineStr">
        <is>
          <t>LR-014</t>
        </is>
      </c>
      <c r="B15" s="8" t="inlineStr">
        <is>
          <t>Tabs</t>
        </is>
      </c>
      <c r="C15" s="8" t="inlineStr">
        <is>
          <t>Tab URL</t>
        </is>
      </c>
      <c r="D15" s="8" t="inlineStr">
        <is>
          <t>Browser Back returns to the previous tab</t>
        </is>
      </c>
      <c r="E15" s="8" t="inlineStr">
        <is>
          <t>Logged in as CRM Administrator; Lead Reports open (https://qa-crm.asquareab.com/reports/leads)</t>
        </is>
      </c>
      <c r="F15" s="8" t="inlineStr">
        <is>
          <t>1. Open Aging &amp; Follow-up
2. Click Salesperson Scorecard
3. Click browser Back</t>
        </is>
      </c>
      <c r="G15" s="8" t="inlineStr"/>
      <c r="H15" s="8" t="inlineStr">
        <is>
          <t>Previous tab is shown again</t>
        </is>
      </c>
      <c r="I15" s="8" t="inlineStr">
        <is>
          <t>Back returned to /reports/leads (Overview &amp; Funnel), not to Aging — confirm intended behaviour</t>
        </is>
      </c>
      <c r="J15" s="8" t="inlineStr">
        <is>
          <t>Navigation</t>
        </is>
      </c>
      <c r="K15" s="11" t="inlineStr">
        <is>
          <t>Low</t>
        </is>
      </c>
      <c r="L15" s="8" t="inlineStr">
        <is>
          <t>Not Started</t>
        </is>
      </c>
      <c r="M15" s="8" t="inlineStr"/>
    </row>
    <row r="16">
      <c r="A16" s="8" t="inlineStr">
        <is>
          <t>LR-015</t>
        </is>
      </c>
      <c r="B16" s="8" t="inlineStr">
        <is>
          <t>Tabs</t>
        </is>
      </c>
      <c r="C16" s="8" t="inlineStr">
        <is>
          <t>Tab URL</t>
        </is>
      </c>
      <c r="D16" s="8" t="inlineStr">
        <is>
          <t>Unknown tab in the URL falls back to Overview</t>
        </is>
      </c>
      <c r="E16" s="8" t="inlineStr">
        <is>
          <t>Logged in as CRM Administrator; Lead Reports open (https://qa-crm.asquareab.com/reports/leads)</t>
        </is>
      </c>
      <c r="F16" s="8" t="inlineStr">
        <is>
          <t>1. Open https://qa-crm.asquareab.com/reports/leads?tab=nonsense</t>
        </is>
      </c>
      <c r="G16" s="8" t="inlineStr"/>
      <c r="H16" s="8" t="inlineStr">
        <is>
          <t>Overview &amp; Funnel is shown; no error</t>
        </is>
      </c>
      <c r="I16" s="8" t="inlineStr">
        <is>
          <t>As expected</t>
        </is>
      </c>
      <c r="J16" s="8" t="inlineStr">
        <is>
          <t>Negative</t>
        </is>
      </c>
      <c r="K16" s="11" t="inlineStr">
        <is>
          <t>Low</t>
        </is>
      </c>
      <c r="L16" s="8" t="inlineStr">
        <is>
          <t>Not Started</t>
        </is>
      </c>
      <c r="M16" s="8" t="inlineStr"/>
    </row>
    <row r="17">
      <c r="A17" s="8" t="inlineStr">
        <is>
          <t>LR-016</t>
        </is>
      </c>
      <c r="B17" s="8" t="inlineStr">
        <is>
          <t>Filters</t>
        </is>
      </c>
      <c r="C17" s="8" t="inlineStr">
        <is>
          <t>Period</t>
        </is>
      </c>
      <c r="D17" s="8" t="inlineStr">
        <is>
          <t>Period dropdown lists all periods</t>
        </is>
      </c>
      <c r="E17" s="8" t="inlineStr">
        <is>
          <t>Logged in as CRM Administrator; Lead Reports open (https://qa-crm.asquareab.com/reports/leads)</t>
        </is>
      </c>
      <c r="F17" s="8" t="inlineStr">
        <is>
          <t>1. Open the "Period (lead captured)" dropdown</t>
        </is>
      </c>
      <c r="G17" s="8" t="inlineStr"/>
      <c r="H17" s="8" t="inlineStr">
        <is>
          <t>Options: This month, Last month, This quarter, Last quarter, Year to date, Last 12 months, Custom dates</t>
        </is>
      </c>
      <c r="I17" s="8" t="inlineStr">
        <is>
          <t>As expected</t>
        </is>
      </c>
      <c r="J17" s="8" t="inlineStr">
        <is>
          <t>UI</t>
        </is>
      </c>
      <c r="K17" s="10" t="inlineStr">
        <is>
          <t>Medium</t>
        </is>
      </c>
      <c r="L17" s="8" t="inlineStr">
        <is>
          <t>Not Started</t>
        </is>
      </c>
      <c r="M17" s="8" t="inlineStr"/>
    </row>
    <row r="18">
      <c r="A18" s="8" t="inlineStr">
        <is>
          <t>LR-017</t>
        </is>
      </c>
      <c r="B18" s="8" t="inlineStr">
        <is>
          <t>Filters</t>
        </is>
      </c>
      <c r="C18" s="8" t="inlineStr">
        <is>
          <t>Period</t>
        </is>
      </c>
      <c r="D18" s="8" t="inlineStr">
        <is>
          <t>Default period is "This month"</t>
        </is>
      </c>
      <c r="E18" s="8" t="inlineStr">
        <is>
          <t>Logged in as CRM Administrator; Lead Reports open (https://qa-crm.asquareab.com/reports/leads)</t>
        </is>
      </c>
      <c r="F18" s="8" t="inlineStr">
        <is>
          <t>1. Open Lead Reports
2. Read the Period dropdown</t>
        </is>
      </c>
      <c r="G18" s="8" t="inlineStr"/>
      <c r="H18" s="8" t="inlineStr">
        <is>
          <t>"This month" is selected (same period as the hub and dashboard)</t>
        </is>
      </c>
      <c r="I18" s="12" t="inlineStr">
        <is>
          <t>"Last 12 months" is selected (see Observations OBS-01)</t>
        </is>
      </c>
      <c r="J18" s="8" t="inlineStr">
        <is>
          <t>Functional</t>
        </is>
      </c>
      <c r="K18" s="9" t="inlineStr">
        <is>
          <t>High</t>
        </is>
      </c>
      <c r="L18" s="8" t="inlineStr">
        <is>
          <t>Not Started</t>
        </is>
      </c>
      <c r="M18" s="8" t="inlineStr"/>
    </row>
    <row r="19">
      <c r="A19" s="8" t="inlineStr">
        <is>
          <t>LR-018</t>
        </is>
      </c>
      <c r="B19" s="8" t="inlineStr">
        <is>
          <t>Filters</t>
        </is>
      </c>
      <c r="C19" s="8" t="inlineStr">
        <is>
          <t>Period</t>
        </is>
      </c>
      <c r="D19" s="8" t="inlineStr">
        <is>
          <t>Each period reloads the report</t>
        </is>
      </c>
      <c r="E19" s="8" t="inlineStr">
        <is>
          <t>Logged in as CRM Administrator; Lead Reports open (https://qa-crm.asquareab.com/reports/leads)</t>
        </is>
      </c>
      <c r="F19" s="8" t="inlineStr">
        <is>
          <t>1. Select each period in turn (except Custom dates)</t>
        </is>
      </c>
      <c r="G19" s="8" t="inlineStr">
        <is>
          <t>This month, Last month, This quarter, Last quarter, Year to date, Last 12 months</t>
        </is>
      </c>
      <c r="H19" s="8" t="inlineStr">
        <is>
          <t>KPIs, funnel and tables reload for that period (API ?period=&lt;value&gt;); values are valid</t>
        </is>
      </c>
      <c r="I19" s="8" t="inlineStr">
        <is>
          <t>This month → Leads Captured 16, Contact Rate 50%, SPA Signed 1, Won Value 1.23M USD</t>
        </is>
      </c>
      <c r="J19" s="8" t="inlineStr">
        <is>
          <t>Functional</t>
        </is>
      </c>
      <c r="K19" s="9" t="inlineStr">
        <is>
          <t>High</t>
        </is>
      </c>
      <c r="L19" s="8" t="inlineStr">
        <is>
          <t>Not Started</t>
        </is>
      </c>
      <c r="M19" s="8" t="inlineStr"/>
    </row>
    <row r="20">
      <c r="A20" s="8" t="inlineStr">
        <is>
          <t>LR-019</t>
        </is>
      </c>
      <c r="B20" s="8" t="inlineStr">
        <is>
          <t>Filters</t>
        </is>
      </c>
      <c r="C20" s="8" t="inlineStr">
        <is>
          <t>Custom dates</t>
        </is>
      </c>
      <c r="D20" s="8" t="inlineStr">
        <is>
          <t>Custom dates shows From and To</t>
        </is>
      </c>
      <c r="E20" s="8" t="inlineStr">
        <is>
          <t>Logged in as CRM Administrator; Lead Reports open (https://qa-crm.asquareab.com/reports/leads)</t>
        </is>
      </c>
      <c r="F20" s="8" t="inlineStr">
        <is>
          <t>1. Select Period = Custom dates</t>
        </is>
      </c>
      <c r="G20" s="8" t="inlineStr"/>
      <c r="H20" s="8" t="inlineStr">
        <is>
          <t>From and To date fields appear</t>
        </is>
      </c>
      <c r="I20" s="8" t="inlineStr">
        <is>
          <t>As expected (no min/max limits on the fields)</t>
        </is>
      </c>
      <c r="J20" s="8" t="inlineStr">
        <is>
          <t>UI</t>
        </is>
      </c>
      <c r="K20" s="10" t="inlineStr">
        <is>
          <t>Medium</t>
        </is>
      </c>
      <c r="L20" s="8" t="inlineStr">
        <is>
          <t>Not Started</t>
        </is>
      </c>
      <c r="M20" s="8" t="inlineStr"/>
    </row>
    <row r="21">
      <c r="A21" s="8" t="inlineStr">
        <is>
          <t>LR-020</t>
        </is>
      </c>
      <c r="B21" s="8" t="inlineStr">
        <is>
          <t>Filters</t>
        </is>
      </c>
      <c r="C21" s="8" t="inlineStr">
        <is>
          <t>Custom dates</t>
        </is>
      </c>
      <c r="D21" s="8" t="inlineStr">
        <is>
          <t>A valid custom range reloads the report</t>
        </is>
      </c>
      <c r="E21" s="8" t="inlineStr">
        <is>
          <t>Logged in as CRM Administrator; Lead Reports open (https://qa-crm.asquareab.com/reports/leads)</t>
        </is>
      </c>
      <c r="F21" s="8" t="inlineStr">
        <is>
          <t>1. Custom dates
2. From = 01-Sep-2026, To = 30-Sep-2026</t>
        </is>
      </c>
      <c r="G21" s="8" t="inlineStr">
        <is>
          <t>2026-09-01 → 2026-09-30</t>
        </is>
      </c>
      <c r="H21" s="8" t="inlineStr">
        <is>
          <t>Report reloads for that range (API period=custom&amp;from=…&amp;to=…)</t>
        </is>
      </c>
      <c r="I21" s="8" t="inlineStr">
        <is>
          <t>As expected</t>
        </is>
      </c>
      <c r="J21" s="8" t="inlineStr">
        <is>
          <t>Functional</t>
        </is>
      </c>
      <c r="K21" s="9" t="inlineStr">
        <is>
          <t>High</t>
        </is>
      </c>
      <c r="L21" s="8" t="inlineStr">
        <is>
          <t>Not Started</t>
        </is>
      </c>
      <c r="M21" s="8" t="inlineStr"/>
    </row>
    <row r="22">
      <c r="A22" s="8" t="inlineStr">
        <is>
          <t>LR-021</t>
        </is>
      </c>
      <c r="B22" s="8" t="inlineStr">
        <is>
          <t>Filters</t>
        </is>
      </c>
      <c r="C22" s="8" t="inlineStr">
        <is>
          <t>Custom dates</t>
        </is>
      </c>
      <c r="D22" s="8" t="inlineStr">
        <is>
          <t>From later than To is rejected with a message</t>
        </is>
      </c>
      <c r="E22" s="8" t="inlineStr">
        <is>
          <t>Logged in as CRM Administrator; Lead Reports open (https://qa-crm.asquareab.com/reports/leads)</t>
        </is>
      </c>
      <c r="F22" s="8" t="inlineStr">
        <is>
          <t>1. Custom dates
2. From = 30-Sep-2026, To = 01-Sep-2026</t>
        </is>
      </c>
      <c r="G22" s="8" t="inlineStr">
        <is>
          <t>2026-09-30 → 2026-09-01</t>
        </is>
      </c>
      <c r="H22" s="8" t="inlineStr">
        <is>
          <t>A validation message is shown and the report is not reloaded with an invalid range</t>
        </is>
      </c>
      <c r="I22" s="12" t="inlineStr">
        <is>
          <t>No message; no request sent; the old figures stay on screen (OBS-02)</t>
        </is>
      </c>
      <c r="J22" s="8" t="inlineStr">
        <is>
          <t>Negative</t>
        </is>
      </c>
      <c r="K22" s="10" t="inlineStr">
        <is>
          <t>Medium</t>
        </is>
      </c>
      <c r="L22" s="8" t="inlineStr">
        <is>
          <t>Not Started</t>
        </is>
      </c>
      <c r="M22" s="8" t="inlineStr"/>
    </row>
    <row r="23">
      <c r="A23" s="8" t="inlineStr">
        <is>
          <t>LR-022</t>
        </is>
      </c>
      <c r="B23" s="8" t="inlineStr">
        <is>
          <t>Filters</t>
        </is>
      </c>
      <c r="C23" s="8" t="inlineStr">
        <is>
          <t>Custom dates</t>
        </is>
      </c>
      <c r="D23" s="8" t="inlineStr">
        <is>
          <t>A range with no data shows zeros</t>
        </is>
      </c>
      <c r="E23" s="8" t="inlineStr">
        <is>
          <t>Logged in as CRM Administrator; Lead Reports open (https://qa-crm.asquareab.com/reports/leads)</t>
        </is>
      </c>
      <c r="F23" s="8" t="inlineStr">
        <is>
          <t>1. Custom dates 01-Jan-2030 → 31-Jan-2030</t>
        </is>
      </c>
      <c r="G23" s="8" t="inlineStr">
        <is>
          <t>2030-01-01 → 2030-01-31</t>
        </is>
      </c>
      <c r="H23" s="8" t="inlineStr">
        <is>
          <t>Leads Captured 0, SPA Signed 0, Won Value 0 USD, rates "—"; funnel 0; "now" figures (Open Leads Now) unchanged</t>
        </is>
      </c>
      <c r="I23" s="8" t="inlineStr">
        <is>
          <t>As expected (Open Leads Now stays 364 — it is "as of today")</t>
        </is>
      </c>
      <c r="J23" s="8" t="inlineStr">
        <is>
          <t>Negative</t>
        </is>
      </c>
      <c r="K23" s="10" t="inlineStr">
        <is>
          <t>Medium</t>
        </is>
      </c>
      <c r="L23" s="8" t="inlineStr">
        <is>
          <t>Not Started</t>
        </is>
      </c>
      <c r="M23" s="8" t="inlineStr"/>
    </row>
    <row r="24">
      <c r="A24" s="8" t="inlineStr">
        <is>
          <t>LR-023</t>
        </is>
      </c>
      <c r="B24" s="8" t="inlineStr">
        <is>
          <t>Filters</t>
        </is>
      </c>
      <c r="C24" s="8" t="inlineStr">
        <is>
          <t>Project</t>
        </is>
      </c>
      <c r="D24" s="8" t="inlineStr">
        <is>
          <t>"Project" filter narrows the report</t>
        </is>
      </c>
      <c r="E24" s="8" t="inlineStr">
        <is>
          <t>Logged in as CRM Administrator; Lead Reports open (https://qa-crm.asquareab.com/reports/leads)</t>
        </is>
      </c>
      <c r="F24" s="8" t="inlineStr">
        <is>
          <t>1. Note Leads Captured
2. Select Project = Palm Exotjca Limited</t>
        </is>
      </c>
      <c r="G24" s="8" t="inlineStr">
        <is>
          <t>Project = Palm Exotjca Limited</t>
        </is>
      </c>
      <c r="H24" s="8" t="inlineStr">
        <is>
          <t>Dropdown starts with "All projects"; after selecting, every KPI, funnel step and table reloads for that project only; counts ≤ unfiltered</t>
        </is>
      </c>
      <c r="I24" s="8" t="inlineStr">
        <is>
          <t>To verify</t>
        </is>
      </c>
      <c r="J24" s="8" t="inlineStr">
        <is>
          <t>Functional</t>
        </is>
      </c>
      <c r="K24" s="10" t="inlineStr">
        <is>
          <t>Medium</t>
        </is>
      </c>
      <c r="L24" s="8" t="inlineStr">
        <is>
          <t>Not Started</t>
        </is>
      </c>
      <c r="M24" s="8" t="inlineStr"/>
    </row>
    <row r="25">
      <c r="A25" s="8" t="inlineStr">
        <is>
          <t>LR-024</t>
        </is>
      </c>
      <c r="B25" s="8" t="inlineStr">
        <is>
          <t>Filters</t>
        </is>
      </c>
      <c r="C25" s="8" t="inlineStr">
        <is>
          <t>Lead Source</t>
        </is>
      </c>
      <c r="D25" s="8" t="inlineStr">
        <is>
          <t>"Lead Source" filter narrows the report</t>
        </is>
      </c>
      <c r="E25" s="8" t="inlineStr">
        <is>
          <t>Logged in as CRM Administrator; Lead Reports open (https://qa-crm.asquareab.com/reports/leads)</t>
        </is>
      </c>
      <c r="F25" s="8" t="inlineStr">
        <is>
          <t>1. Note Leads Captured
2. Select Lead Source = Digital Marketing</t>
        </is>
      </c>
      <c r="G25" s="8" t="inlineStr">
        <is>
          <t>Lead Source = Digital Marketing</t>
        </is>
      </c>
      <c r="H25" s="8" t="inlineStr">
        <is>
          <t>Dropdown starts with "All sources"; after selecting, every KPI, funnel step and table reloads for that lead source only; counts ≤ unfiltered</t>
        </is>
      </c>
      <c r="I25" s="8" t="inlineStr">
        <is>
          <t>Digital Marketing → Leads Captured 18, Contact Rate 77.8%, SPA Signed 5, Won Value 6.27M USD, Open Leads Now 7</t>
        </is>
      </c>
      <c r="J25" s="8" t="inlineStr">
        <is>
          <t>Functional</t>
        </is>
      </c>
      <c r="K25" s="9" t="inlineStr">
        <is>
          <t>High</t>
        </is>
      </c>
      <c r="L25" s="8" t="inlineStr">
        <is>
          <t>Not Started</t>
        </is>
      </c>
      <c r="M25" s="8" t="inlineStr"/>
    </row>
    <row r="26">
      <c r="A26" s="8" t="inlineStr">
        <is>
          <t>LR-025</t>
        </is>
      </c>
      <c r="B26" s="8" t="inlineStr">
        <is>
          <t>Filters</t>
        </is>
      </c>
      <c r="C26" s="8" t="inlineStr">
        <is>
          <t>Capture Channel</t>
        </is>
      </c>
      <c r="D26" s="8" t="inlineStr">
        <is>
          <t>"Capture Channel" filter narrows the report</t>
        </is>
      </c>
      <c r="E26" s="8" t="inlineStr">
        <is>
          <t>Logged in as CRM Administrator; Lead Reports open (https://qa-crm.asquareab.com/reports/leads)</t>
        </is>
      </c>
      <c r="F26" s="8" t="inlineStr">
        <is>
          <t>1. Note Leads Captured
2. Select Capture Channel = Google Ads</t>
        </is>
      </c>
      <c r="G26" s="8" t="inlineStr">
        <is>
          <t>Capture Channel = Google Ads</t>
        </is>
      </c>
      <c r="H26" s="8" t="inlineStr">
        <is>
          <t>Dropdown starts with "All channels"; after selecting, every KPI, funnel step and table reloads for that capture channel only; counts ≤ unfiltered</t>
        </is>
      </c>
      <c r="I26" s="8" t="inlineStr">
        <is>
          <t>To verify</t>
        </is>
      </c>
      <c r="J26" s="8" t="inlineStr">
        <is>
          <t>Functional</t>
        </is>
      </c>
      <c r="K26" s="10" t="inlineStr">
        <is>
          <t>Medium</t>
        </is>
      </c>
      <c r="L26" s="8" t="inlineStr">
        <is>
          <t>Not Started</t>
        </is>
      </c>
      <c r="M26" s="8" t="inlineStr"/>
    </row>
    <row r="27">
      <c r="A27" s="8" t="inlineStr">
        <is>
          <t>LR-026</t>
        </is>
      </c>
      <c r="B27" s="8" t="inlineStr">
        <is>
          <t>Filters</t>
        </is>
      </c>
      <c r="C27" s="8" t="inlineStr">
        <is>
          <t>Campaign</t>
        </is>
      </c>
      <c r="D27" s="8" t="inlineStr">
        <is>
          <t>"Campaign" filter narrows the report</t>
        </is>
      </c>
      <c r="E27" s="8" t="inlineStr">
        <is>
          <t>Logged in as CRM Administrator; Lead Reports open (https://qa-crm.asquareab.com/reports/leads)</t>
        </is>
      </c>
      <c r="F27" s="8" t="inlineStr">
        <is>
          <t>1. Note Leads Captured
2. Select Campaign = Palm Exotica Campaign 2026-06</t>
        </is>
      </c>
      <c r="G27" s="8" t="inlineStr">
        <is>
          <t>Campaign = Palm Exotica Campaign 2026-06</t>
        </is>
      </c>
      <c r="H27" s="8" t="inlineStr">
        <is>
          <t>Dropdown starts with "All campaigns"; after selecting, every KPI, funnel step and table reloads for that campaign only; counts ≤ unfiltered</t>
        </is>
      </c>
      <c r="I27" s="8" t="inlineStr">
        <is>
          <t>To verify</t>
        </is>
      </c>
      <c r="J27" s="8" t="inlineStr">
        <is>
          <t>Functional</t>
        </is>
      </c>
      <c r="K27" s="10" t="inlineStr">
        <is>
          <t>Medium</t>
        </is>
      </c>
      <c r="L27" s="8" t="inlineStr">
        <is>
          <t>Not Started</t>
        </is>
      </c>
      <c r="M27" s="8" t="inlineStr"/>
    </row>
    <row r="28">
      <c r="A28" s="8" t="inlineStr">
        <is>
          <t>LR-027</t>
        </is>
      </c>
      <c r="B28" s="8" t="inlineStr">
        <is>
          <t>Filters</t>
        </is>
      </c>
      <c r="C28" s="8" t="inlineStr">
        <is>
          <t>Broker</t>
        </is>
      </c>
      <c r="D28" s="8" t="inlineStr">
        <is>
          <t>"Broker" filter narrows the report</t>
        </is>
      </c>
      <c r="E28" s="8" t="inlineStr">
        <is>
          <t>Logged in as CRM Administrator; Lead Reports open (https://qa-crm.asquareab.com/reports/leads)</t>
        </is>
      </c>
      <c r="F28" s="8" t="inlineStr">
        <is>
          <t>1. Note Leads Captured
2. Select Broker = Palm Exotica Broker 1</t>
        </is>
      </c>
      <c r="G28" s="8" t="inlineStr">
        <is>
          <t>Broker = Palm Exotica Broker 1</t>
        </is>
      </c>
      <c r="H28" s="8" t="inlineStr">
        <is>
          <t>Dropdown starts with "All brokers"; after selecting, every KPI, funnel step and table reloads for that broker only; counts ≤ unfiltered</t>
        </is>
      </c>
      <c r="I28" s="8" t="inlineStr">
        <is>
          <t>To verify</t>
        </is>
      </c>
      <c r="J28" s="8" t="inlineStr">
        <is>
          <t>Functional</t>
        </is>
      </c>
      <c r="K28" s="10" t="inlineStr">
        <is>
          <t>Medium</t>
        </is>
      </c>
      <c r="L28" s="8" t="inlineStr">
        <is>
          <t>Not Started</t>
        </is>
      </c>
      <c r="M28" s="8" t="inlineStr"/>
    </row>
    <row r="29">
      <c r="A29" s="8" t="inlineStr">
        <is>
          <t>LR-028</t>
        </is>
      </c>
      <c r="B29" s="8" t="inlineStr">
        <is>
          <t>Filters</t>
        </is>
      </c>
      <c r="C29" s="8" t="inlineStr">
        <is>
          <t>Salesperson</t>
        </is>
      </c>
      <c r="D29" s="8" t="inlineStr">
        <is>
          <t>"Salesperson" filter narrows the report</t>
        </is>
      </c>
      <c r="E29" s="8" t="inlineStr">
        <is>
          <t>Logged in as CRM Administrator; Lead Reports open (https://qa-crm.asquareab.com/reports/leads)</t>
        </is>
      </c>
      <c r="F29" s="8" t="inlineStr">
        <is>
          <t>1. Note Leads Captured
2. Select Salesperson = Mahalakshmi</t>
        </is>
      </c>
      <c r="G29" s="8" t="inlineStr">
        <is>
          <t>Salesperson = Mahalakshmi</t>
        </is>
      </c>
      <c r="H29" s="8" t="inlineStr">
        <is>
          <t>Dropdown starts with "All salespeople"; after selecting, every KPI, funnel step and table reloads for that salesperson only; counts ≤ unfiltered</t>
        </is>
      </c>
      <c r="I29" s="12" t="inlineStr">
        <is>
          <t>Options list "Mahalakshmi" twice (OBS-06)</t>
        </is>
      </c>
      <c r="J29" s="8" t="inlineStr">
        <is>
          <t>Functional</t>
        </is>
      </c>
      <c r="K29" s="9" t="inlineStr">
        <is>
          <t>High</t>
        </is>
      </c>
      <c r="L29" s="8" t="inlineStr">
        <is>
          <t>Not Started</t>
        </is>
      </c>
      <c r="M29" s="8" t="inlineStr"/>
    </row>
    <row r="30">
      <c r="A30" s="8" t="inlineStr">
        <is>
          <t>LR-029</t>
        </is>
      </c>
      <c r="B30" s="8" t="inlineStr">
        <is>
          <t>Filters</t>
        </is>
      </c>
      <c r="C30" s="8" t="inlineStr">
        <is>
          <t>Prospect Type</t>
        </is>
      </c>
      <c r="D30" s="8" t="inlineStr">
        <is>
          <t>"Prospect Type" filter narrows the report</t>
        </is>
      </c>
      <c r="E30" s="8" t="inlineStr">
        <is>
          <t>Logged in as CRM Administrator; Lead Reports open (https://qa-crm.asquareab.com/reports/leads)</t>
        </is>
      </c>
      <c r="F30" s="8" t="inlineStr">
        <is>
          <t>1. Note Leads Captured
2. Select Prospect Type = Individual (Person)</t>
        </is>
      </c>
      <c r="G30" s="8" t="inlineStr">
        <is>
          <t>Prospect Type = Individual (Person)</t>
        </is>
      </c>
      <c r="H30" s="8" t="inlineStr">
        <is>
          <t>Dropdown starts with "All types"; after selecting, every KPI, funnel step and table reloads for that prospect type only; counts ≤ unfiltered</t>
        </is>
      </c>
      <c r="I30" s="8" t="inlineStr">
        <is>
          <t>To verify</t>
        </is>
      </c>
      <c r="J30" s="8" t="inlineStr">
        <is>
          <t>Functional</t>
        </is>
      </c>
      <c r="K30" s="10" t="inlineStr">
        <is>
          <t>Medium</t>
        </is>
      </c>
      <c r="L30" s="8" t="inlineStr">
        <is>
          <t>Not Started</t>
        </is>
      </c>
      <c r="M30" s="8" t="inlineStr"/>
    </row>
    <row r="31">
      <c r="A31" s="8" t="inlineStr">
        <is>
          <t>LR-030</t>
        </is>
      </c>
      <c r="B31" s="8" t="inlineStr">
        <is>
          <t>Filters</t>
        </is>
      </c>
      <c r="C31" s="8" t="inlineStr">
        <is>
          <t>Nationality</t>
        </is>
      </c>
      <c r="D31" s="8" t="inlineStr">
        <is>
          <t>"Nationality" filter narrows the report</t>
        </is>
      </c>
      <c r="E31" s="8" t="inlineStr">
        <is>
          <t>Logged in as CRM Administrator; Lead Reports open (https://qa-crm.asquareab.com/reports/leads)</t>
        </is>
      </c>
      <c r="F31" s="8" t="inlineStr">
        <is>
          <t>1. Note Leads Captured
2. Select Nationality = India</t>
        </is>
      </c>
      <c r="G31" s="8" t="inlineStr">
        <is>
          <t>Nationality = India</t>
        </is>
      </c>
      <c r="H31" s="8" t="inlineStr">
        <is>
          <t>Dropdown starts with "All nationalities"; after selecting, every KPI, funnel step and table reloads for that nationality only; counts ≤ unfiltered</t>
        </is>
      </c>
      <c r="I31" s="8" t="inlineStr">
        <is>
          <t>To verify</t>
        </is>
      </c>
      <c r="J31" s="8" t="inlineStr">
        <is>
          <t>Functional</t>
        </is>
      </c>
      <c r="K31" s="10" t="inlineStr">
        <is>
          <t>Medium</t>
        </is>
      </c>
      <c r="L31" s="8" t="inlineStr">
        <is>
          <t>Not Started</t>
        </is>
      </c>
      <c r="M31" s="8" t="inlineStr"/>
    </row>
    <row r="32">
      <c r="A32" s="8" t="inlineStr">
        <is>
          <t>LR-031</t>
        </is>
      </c>
      <c r="B32" s="8" t="inlineStr">
        <is>
          <t>Filters</t>
        </is>
      </c>
      <c r="C32" s="8" t="inlineStr">
        <is>
          <t>Filters</t>
        </is>
      </c>
      <c r="D32" s="8" t="inlineStr">
        <is>
          <t>Several filters combine (AND)</t>
        </is>
      </c>
      <c r="E32" s="8" t="inlineStr">
        <is>
          <t>Logged in as CRM Administrator; Lead Reports open (https://qa-crm.asquareab.com/reports/leads)</t>
        </is>
      </c>
      <c r="F32" s="8" t="inlineStr">
        <is>
          <t>1. Lead Source = Digital Marketing
2. Project = Palm Exotjca Limited</t>
        </is>
      </c>
      <c r="G32" s="8" t="inlineStr">
        <is>
          <t>Digital Marketing + Palm Exotjca Limited</t>
        </is>
      </c>
      <c r="H32" s="8" t="inlineStr">
        <is>
          <t>Results match both filters; counts ≤ either filter alone</t>
        </is>
      </c>
      <c r="I32" s="8" t="inlineStr">
        <is>
          <t>To verify</t>
        </is>
      </c>
      <c r="J32" s="8" t="inlineStr">
        <is>
          <t>Functional</t>
        </is>
      </c>
      <c r="K32" s="10" t="inlineStr">
        <is>
          <t>Medium</t>
        </is>
      </c>
      <c r="L32" s="8" t="inlineStr">
        <is>
          <t>Not Started</t>
        </is>
      </c>
      <c r="M32" s="8" t="inlineStr"/>
    </row>
    <row r="33">
      <c r="A33" s="8" t="inlineStr">
        <is>
          <t>LR-032</t>
        </is>
      </c>
      <c r="B33" s="8" t="inlineStr">
        <is>
          <t>Filters</t>
        </is>
      </c>
      <c r="C33" s="8" t="inlineStr">
        <is>
          <t>Filters</t>
        </is>
      </c>
      <c r="D33" s="8" t="inlineStr">
        <is>
          <t>Filters apply to every tab</t>
        </is>
      </c>
      <c r="E33" s="8" t="inlineStr">
        <is>
          <t>Logged in as CRM Administrator; Lead Reports open (https://qa-crm.asquareab.com/reports/leads)</t>
        </is>
      </c>
      <c r="F33" s="8" t="inlineStr">
        <is>
          <t>1. Lead Source = Digital Marketing on Overview
2. Open Source &amp; Channel</t>
        </is>
      </c>
      <c r="G33" s="8" t="inlineStr"/>
      <c r="H33" s="8" t="inlineStr">
        <is>
          <t>The filter stays selected and the Source &amp; Channel table shows only Digital Marketing (18 leads)</t>
        </is>
      </c>
      <c r="I33" s="8" t="inlineStr">
        <is>
          <t>As expected</t>
        </is>
      </c>
      <c r="J33" s="8" t="inlineStr">
        <is>
          <t>Functional</t>
        </is>
      </c>
      <c r="K33" s="9" t="inlineStr">
        <is>
          <t>High</t>
        </is>
      </c>
      <c r="L33" s="8" t="inlineStr">
        <is>
          <t>Not Started</t>
        </is>
      </c>
      <c r="M33" s="8" t="inlineStr"/>
    </row>
    <row r="34">
      <c r="A34" s="8" t="inlineStr">
        <is>
          <t>LR-033</t>
        </is>
      </c>
      <c r="B34" s="8" t="inlineStr">
        <is>
          <t>Filters</t>
        </is>
      </c>
      <c r="C34" s="8" t="inlineStr">
        <is>
          <t>Filters</t>
        </is>
      </c>
      <c r="D34" s="8" t="inlineStr">
        <is>
          <t>Filters after a page reload</t>
        </is>
      </c>
      <c r="E34" s="8" t="inlineStr">
        <is>
          <t>Logged in as CRM Administrator; Lead Reports open (https://qa-crm.asquareab.com/reports/leads)</t>
        </is>
      </c>
      <c r="F34" s="8" t="inlineStr">
        <is>
          <t>1. Select Lead Source = Digital Marketing
2. Press F5</t>
        </is>
      </c>
      <c r="G34" s="8" t="inlineStr"/>
      <c r="H34" s="8" t="inlineStr">
        <is>
          <t>Agreed behaviour: filters reset to defaults and the figures match the defaults (filters are not kept in the URL)</t>
        </is>
      </c>
      <c r="I34" s="12" t="inlineStr">
        <is>
          <t>Filters reset to defaults; tab is kept (OBS-05)</t>
        </is>
      </c>
      <c r="J34" s="8" t="inlineStr">
        <is>
          <t>Functional</t>
        </is>
      </c>
      <c r="K34" s="11" t="inlineStr">
        <is>
          <t>Low</t>
        </is>
      </c>
      <c r="L34" s="8" t="inlineStr">
        <is>
          <t>Not Started</t>
        </is>
      </c>
      <c r="M34" s="8" t="inlineStr"/>
    </row>
    <row r="35">
      <c r="A35" s="8" t="inlineStr">
        <is>
          <t>LR-034</t>
        </is>
      </c>
      <c r="B35" s="8" t="inlineStr">
        <is>
          <t>Filters</t>
        </is>
      </c>
      <c r="C35" s="8" t="inlineStr">
        <is>
          <t>Reset filters</t>
        </is>
      </c>
      <c r="D35" s="8" t="inlineStr">
        <is>
          <t>Reset filters restores the defaults</t>
        </is>
      </c>
      <c r="E35" s="8" t="inlineStr">
        <is>
          <t>Logged in as CRM Administrator; Lead Reports open (https://qa-crm.asquareab.com/reports/leads)</t>
        </is>
      </c>
      <c r="F35" s="8" t="inlineStr">
        <is>
          <t>1. Change Lead Source and Project
2. Click Reset filters</t>
        </is>
      </c>
      <c r="G35" s="8" t="inlineStr"/>
      <c r="H35" s="8" t="inlineStr">
        <is>
          <t>Reset is disabled until a filter changes; after Reset every dropdown returns to its default and the KPIs return to the original values</t>
        </is>
      </c>
      <c r="I35" s="8" t="inlineStr">
        <is>
          <t>As expected (Leads Captured back to 613)</t>
        </is>
      </c>
      <c r="J35" s="8" t="inlineStr">
        <is>
          <t>Functional</t>
        </is>
      </c>
      <c r="K35" s="9" t="inlineStr">
        <is>
          <t>High</t>
        </is>
      </c>
      <c r="L35" s="8" t="inlineStr">
        <is>
          <t>Not Started</t>
        </is>
      </c>
      <c r="M35" s="8" t="inlineStr"/>
    </row>
    <row r="36">
      <c r="A36" s="8" t="inlineStr">
        <is>
          <t>LR-035</t>
        </is>
      </c>
      <c r="B36" s="8" t="inlineStr">
        <is>
          <t>Filters</t>
        </is>
      </c>
      <c r="C36" s="8" t="inlineStr">
        <is>
          <t>Filters</t>
        </is>
      </c>
      <c r="D36" s="8" t="inlineStr">
        <is>
          <t>Drill-down lists respect the filters</t>
        </is>
      </c>
      <c r="E36" s="8" t="inlineStr">
        <is>
          <t>Logged in as CRM Administrator; Lead Reports open (https://qa-crm.asquareab.com/reports/leads)</t>
        </is>
      </c>
      <c r="F36" s="8" t="inlineStr">
        <is>
          <t>1. Lead Source = Digital Marketing
2. Click the Leads Captured count</t>
        </is>
      </c>
      <c r="G36" s="8" t="inlineStr"/>
      <c r="H36" s="8" t="inlineStr">
        <is>
          <t>Drill-down lists 18 leads, all with Source = Digital Marketing</t>
        </is>
      </c>
      <c r="I36" s="8" t="inlineStr">
        <is>
          <t>Clicked 18 = header 18 = 18 rows; export 18 rows; no duplicates (verification #179); all 18 rows Source = Digital Marketing</t>
        </is>
      </c>
      <c r="J36" s="8" t="inlineStr">
        <is>
          <t>Functional</t>
        </is>
      </c>
      <c r="K36" s="9" t="inlineStr">
        <is>
          <t>High</t>
        </is>
      </c>
      <c r="L36" s="15" t="inlineStr">
        <is>
          <t>Pass</t>
        </is>
      </c>
      <c r="M36" s="8" t="inlineStr">
        <is>
          <t>Executed 13-Oct-2026 (scripted check, see Drill-down Verification)</t>
        </is>
      </c>
    </row>
    <row r="37">
      <c r="A37" s="8" t="inlineStr">
        <is>
          <t>LR-036</t>
        </is>
      </c>
      <c r="B37" s="8" t="inlineStr">
        <is>
          <t>Views</t>
        </is>
      </c>
      <c r="C37" s="8" t="inlineStr">
        <is>
          <t>View</t>
        </is>
      </c>
      <c r="D37" s="8" t="inlineStr">
        <is>
          <t>View buttons All / You and your team / Mine</t>
        </is>
      </c>
      <c r="E37" s="8" t="inlineStr">
        <is>
          <t>Logged in as CRM Administrator; Lead Reports open (https://qa-crm.asquareab.com/reports/leads)</t>
        </is>
      </c>
      <c r="F37" s="8" t="inlineStr">
        <is>
          <t>1. Look at the view buttons</t>
        </is>
      </c>
      <c r="G37" s="8" t="inlineStr"/>
      <c r="H37" s="8" t="inlineStr">
        <is>
          <t>Three buttons; "All" active for a user with the Reports approve right</t>
        </is>
      </c>
      <c r="I37" s="8" t="inlineStr">
        <is>
          <t>As expected (Admin opens on All)</t>
        </is>
      </c>
      <c r="J37" s="8" t="inlineStr">
        <is>
          <t>UI</t>
        </is>
      </c>
      <c r="K37" s="10" t="inlineStr">
        <is>
          <t>Medium</t>
        </is>
      </c>
      <c r="L37" s="8" t="inlineStr">
        <is>
          <t>Not Started</t>
        </is>
      </c>
      <c r="M37" s="8" t="inlineStr"/>
    </row>
    <row r="38">
      <c r="A38" s="8" t="inlineStr">
        <is>
          <t>LR-037</t>
        </is>
      </c>
      <c r="B38" s="8" t="inlineStr">
        <is>
          <t>Views</t>
        </is>
      </c>
      <c r="C38" s="8" t="inlineStr">
        <is>
          <t>View</t>
        </is>
      </c>
      <c r="D38" s="8" t="inlineStr">
        <is>
          <t>"You and your team" shows the user's reporting line</t>
        </is>
      </c>
      <c r="E38" s="8" t="inlineStr">
        <is>
          <t>Logged in as CRM Administrator; Lead Reports open (https://qa-crm.asquareab.com/reports/leads)</t>
        </is>
      </c>
      <c r="F38" s="8" t="inlineStr">
        <is>
          <t>1. Click "You and your team"</t>
        </is>
      </c>
      <c r="G38" s="8" t="inlineStr"/>
      <c r="H38" s="8" t="inlineStr">
        <is>
          <t>Report reloads with view=team; counts ≤ All</t>
        </is>
      </c>
      <c r="I38" s="8" t="inlineStr">
        <is>
          <t>Leads Captured 597 (All 613)</t>
        </is>
      </c>
      <c r="J38" s="8" t="inlineStr">
        <is>
          <t>Functional</t>
        </is>
      </c>
      <c r="K38" s="9" t="inlineStr">
        <is>
          <t>High</t>
        </is>
      </c>
      <c r="L38" s="8" t="inlineStr">
        <is>
          <t>Not Started</t>
        </is>
      </c>
      <c r="M38" s="8" t="inlineStr"/>
    </row>
    <row r="39">
      <c r="A39" s="8" t="inlineStr">
        <is>
          <t>LR-038</t>
        </is>
      </c>
      <c r="B39" s="8" t="inlineStr">
        <is>
          <t>Views</t>
        </is>
      </c>
      <c r="C39" s="8" t="inlineStr">
        <is>
          <t>View</t>
        </is>
      </c>
      <c r="D39" s="8" t="inlineStr">
        <is>
          <t>"Mine" shows only the user's own leads</t>
        </is>
      </c>
      <c r="E39" s="8" t="inlineStr">
        <is>
          <t>Logged in as CRM Administrator; Lead Reports open (https://qa-crm.asquareab.com/reports/leads)</t>
        </is>
      </c>
      <c r="F39" s="8" t="inlineStr">
        <is>
          <t>1. Click "Mine"</t>
        </is>
      </c>
      <c r="G39" s="8" t="inlineStr"/>
      <c r="H39" s="8" t="inlineStr">
        <is>
          <t>Report reloads with view=self; counts ≤ You and your team</t>
        </is>
      </c>
      <c r="I39" s="8" t="inlineStr">
        <is>
          <t>Leads Captured 597 (same as team for Admin)</t>
        </is>
      </c>
      <c r="J39" s="8" t="inlineStr">
        <is>
          <t>Functional</t>
        </is>
      </c>
      <c r="K39" s="9" t="inlineStr">
        <is>
          <t>High</t>
        </is>
      </c>
      <c r="L39" s="8" t="inlineStr">
        <is>
          <t>Not Started</t>
        </is>
      </c>
      <c r="M39" s="8" t="inlineStr"/>
    </row>
    <row r="40">
      <c r="A40" s="8" t="inlineStr">
        <is>
          <t>LR-039</t>
        </is>
      </c>
      <c r="B40" s="8" t="inlineStr">
        <is>
          <t>Views</t>
        </is>
      </c>
      <c r="C40" s="8" t="inlineStr">
        <is>
          <t>View</t>
        </is>
      </c>
      <c r="D40" s="8" t="inlineStr">
        <is>
          <t>"All" restores every salesperson</t>
        </is>
      </c>
      <c r="E40" s="8" t="inlineStr">
        <is>
          <t>Logged in as CRM Administrator; Lead Reports open (https://qa-crm.asquareab.com/reports/leads)</t>
        </is>
      </c>
      <c r="F40" s="8" t="inlineStr">
        <is>
          <t>1. Click Mine
2. Click All</t>
        </is>
      </c>
      <c r="G40" s="8" t="inlineStr"/>
      <c r="H40" s="8" t="inlineStr">
        <is>
          <t>Figures return to the All values</t>
        </is>
      </c>
      <c r="I40" s="8" t="inlineStr">
        <is>
          <t>As expected</t>
        </is>
      </c>
      <c r="J40" s="8" t="inlineStr">
        <is>
          <t>Functional</t>
        </is>
      </c>
      <c r="K40" s="10" t="inlineStr">
        <is>
          <t>Medium</t>
        </is>
      </c>
      <c r="L40" s="8" t="inlineStr">
        <is>
          <t>Not Started</t>
        </is>
      </c>
      <c r="M40" s="8" t="inlineStr"/>
    </row>
    <row r="41">
      <c r="A41" s="8" t="inlineStr">
        <is>
          <t>LR-040</t>
        </is>
      </c>
      <c r="B41" s="8" t="inlineStr">
        <is>
          <t>Views</t>
        </is>
      </c>
      <c r="C41" s="8" t="inlineStr">
        <is>
          <t>View</t>
        </is>
      </c>
      <c r="D41" s="8" t="inlineStr">
        <is>
          <t>Default view depends on the role</t>
        </is>
      </c>
      <c r="E41" s="8" t="inlineStr">
        <is>
          <t>Manager and salesperson test accounts</t>
        </is>
      </c>
      <c r="F41" s="8" t="inlineStr">
        <is>
          <t>1. Log in as a manager → open Lead Reports
2. Log in as a salesperson → open Lead Reports</t>
        </is>
      </c>
      <c r="G41" s="8" t="inlineStr"/>
      <c r="H41" s="8" t="inlineStr">
        <is>
          <t>Manager opens on "You and your team"; salesperson opens on "Mine" (per the help text)</t>
        </is>
      </c>
      <c r="I41" s="8" t="inlineStr">
        <is>
          <t>Needs manager and salesperson accounts</t>
        </is>
      </c>
      <c r="J41" s="8" t="inlineStr">
        <is>
          <t>Security</t>
        </is>
      </c>
      <c r="K41" s="10" t="inlineStr">
        <is>
          <t>Medium</t>
        </is>
      </c>
      <c r="L41" s="8" t="inlineStr">
        <is>
          <t>Not Started</t>
        </is>
      </c>
      <c r="M41" s="8" t="inlineStr"/>
    </row>
    <row r="42">
      <c r="A42" s="8" t="inlineStr">
        <is>
          <t>LR-041</t>
        </is>
      </c>
      <c r="B42" s="8" t="inlineStr">
        <is>
          <t>Views</t>
        </is>
      </c>
      <c r="C42" s="8" t="inlineStr">
        <is>
          <t>View</t>
        </is>
      </c>
      <c r="D42" s="8" t="inlineStr">
        <is>
          <t>Salesperson's Mine view shows a team average on the scorecard</t>
        </is>
      </c>
      <c r="E42" s="8" t="inlineStr">
        <is>
          <t>Salesperson test account</t>
        </is>
      </c>
      <c r="F42" s="8" t="inlineStr">
        <is>
          <t>1. Log in as a salesperson
2. Salesperson Scorecard tab</t>
        </is>
      </c>
      <c r="G42" s="8" t="inlineStr"/>
      <c r="H42" s="8" t="inlineStr">
        <is>
          <t>A team-average row is shown next to the user's own row</t>
        </is>
      </c>
      <c r="I42" s="8" t="inlineStr">
        <is>
          <t>Needs a salesperson account</t>
        </is>
      </c>
      <c r="J42" s="8" t="inlineStr">
        <is>
          <t>Functional</t>
        </is>
      </c>
      <c r="K42" s="11" t="inlineStr">
        <is>
          <t>Low</t>
        </is>
      </c>
      <c r="L42" s="8" t="inlineStr">
        <is>
          <t>Not Started</t>
        </is>
      </c>
      <c r="M42" s="8" t="inlineStr"/>
    </row>
    <row r="43">
      <c r="A43" s="8" t="inlineStr">
        <is>
          <t>LR-042</t>
        </is>
      </c>
      <c r="B43" s="8" t="inlineStr">
        <is>
          <t>Overview &amp; Funnel</t>
        </is>
      </c>
      <c r="C43" s="8" t="inlineStr">
        <is>
          <t>KPI cards</t>
        </is>
      </c>
      <c r="D43" s="8" t="inlineStr">
        <is>
          <t>All 8 KPI cards are shown</t>
        </is>
      </c>
      <c r="E43" s="8" t="inlineStr">
        <is>
          <t>Logged in as CRM Administrator; Lead Reports open (https://qa-crm.asquareab.com/reports/leads)</t>
        </is>
      </c>
      <c r="F43" s="8" t="inlineStr">
        <is>
          <t>1. Open Overview &amp; Funnel</t>
        </is>
      </c>
      <c r="G43" s="8" t="inlineStr"/>
      <c r="H43" s="8" t="inlineStr">
        <is>
          <t>Leads Captured, Contact Rate, Qualification Rate, Opportunity Conversion, SPA Signed, Won Value, Avg Time to First Contact, Open Leads Now — each with a value and a subtitle</t>
        </is>
      </c>
      <c r="I43" s="8" t="inlineStr">
        <is>
          <t>As expected</t>
        </is>
      </c>
      <c r="J43" s="8" t="inlineStr">
        <is>
          <t>UI</t>
        </is>
      </c>
      <c r="K43" s="9" t="inlineStr">
        <is>
          <t>High</t>
        </is>
      </c>
      <c r="L43" s="8" t="inlineStr">
        <is>
          <t>Not Started</t>
        </is>
      </c>
      <c r="M43" s="8" t="inlineStr"/>
    </row>
    <row r="44">
      <c r="A44" s="8" t="inlineStr">
        <is>
          <t>LR-043</t>
        </is>
      </c>
      <c r="B44" s="8" t="inlineStr">
        <is>
          <t>Overview &amp; Funnel</t>
        </is>
      </c>
      <c r="C44" s="8" t="inlineStr">
        <is>
          <t>Leads Captured</t>
        </is>
      </c>
      <c r="D44" s="8" t="inlineStr">
        <is>
          <t>Leads Captured count opens its leads</t>
        </is>
      </c>
      <c r="E44" s="8" t="inlineStr">
        <is>
          <t>Logged in as CRM Administrator; Lead Reports open (https://qa-crm.asquareab.com/reports/leads)</t>
        </is>
      </c>
      <c r="F44" s="8" t="inlineStr">
        <is>
          <t>1. Click the Leads Captured value (613)</t>
        </is>
      </c>
      <c r="G44" s="8" t="inlineStr">
        <is>
          <t>Last 12 months</t>
        </is>
      </c>
      <c r="H44" s="8" t="inlineStr">
        <is>
          <t>Drill-down "Leads captured" opens with 613 leads</t>
        </is>
      </c>
      <c r="I44" s="8" t="inlineStr">
        <is>
          <t>Clicked 613 = header 613; 500 rows shown + "showing the first 500"; export 613 rows; no duplicates (verification #1)</t>
        </is>
      </c>
      <c r="J44" s="8" t="inlineStr">
        <is>
          <t>Functional</t>
        </is>
      </c>
      <c r="K44" s="9" t="inlineStr">
        <is>
          <t>High</t>
        </is>
      </c>
      <c r="L44" s="15" t="inlineStr">
        <is>
          <t>Pass</t>
        </is>
      </c>
      <c r="M44" s="8" t="inlineStr">
        <is>
          <t>Executed 13-Oct-2026 (scripted check, see Drill-down Verification)</t>
        </is>
      </c>
    </row>
    <row r="45">
      <c r="A45" s="8" t="inlineStr">
        <is>
          <t>LR-044</t>
        </is>
      </c>
      <c r="B45" s="8" t="inlineStr">
        <is>
          <t>Overview &amp; Funnel</t>
        </is>
      </c>
      <c r="C45" s="8" t="inlineStr">
        <is>
          <t>Contact Rate</t>
        </is>
      </c>
      <c r="D45" s="8" t="inlineStr">
        <is>
          <t>Contact Rate = Contacted ÷ Leads Captured</t>
        </is>
      </c>
      <c r="E45" s="8" t="inlineStr">
        <is>
          <t>Logged in as CRM Administrator; Lead Reports open (https://qa-crm.asquareab.com/reports/leads)</t>
        </is>
      </c>
      <c r="F45" s="8" t="inlineStr">
        <is>
          <t>1. Read Contact Rate and its subtitle</t>
        </is>
      </c>
      <c r="G45" s="8" t="inlineStr"/>
      <c r="H45" s="8" t="inlineStr">
        <is>
          <t>Subtitle "N contacted"; rate = N ÷ Leads Captured</t>
        </is>
      </c>
      <c r="I45" s="8" t="inlineStr">
        <is>
          <t>52.5% = 322 ÷ 613</t>
        </is>
      </c>
      <c r="J45" s="8" t="inlineStr">
        <is>
          <t>Functional</t>
        </is>
      </c>
      <c r="K45" s="9" t="inlineStr">
        <is>
          <t>High</t>
        </is>
      </c>
      <c r="L45" s="8" t="inlineStr">
        <is>
          <t>Not Started</t>
        </is>
      </c>
      <c r="M45" s="8" t="inlineStr"/>
    </row>
    <row r="46">
      <c r="A46" s="8" t="inlineStr">
        <is>
          <t>LR-045</t>
        </is>
      </c>
      <c r="B46" s="8" t="inlineStr">
        <is>
          <t>Overview &amp; Funnel</t>
        </is>
      </c>
      <c r="C46" s="8" t="inlineStr">
        <is>
          <t>Qualification Rate</t>
        </is>
      </c>
      <c r="D46" s="8" t="inlineStr">
        <is>
          <t>Qualification Rate = Qualified ÷ Leads Captured</t>
        </is>
      </c>
      <c r="E46" s="8" t="inlineStr">
        <is>
          <t>Logged in as CRM Administrator; Lead Reports open (https://qa-crm.asquareab.com/reports/leads)</t>
        </is>
      </c>
      <c r="F46" s="8" t="inlineStr">
        <is>
          <t>1. Read Qualification Rate</t>
        </is>
      </c>
      <c r="G46" s="8" t="inlineStr"/>
      <c r="H46" s="8" t="inlineStr">
        <is>
          <t>Subtitle "N qualified"; rate = N ÷ Leads Captured</t>
        </is>
      </c>
      <c r="I46" s="8" t="inlineStr">
        <is>
          <t>40.6% = 249 ÷ 613</t>
        </is>
      </c>
      <c r="J46" s="8" t="inlineStr">
        <is>
          <t>Functional</t>
        </is>
      </c>
      <c r="K46" s="9" t="inlineStr">
        <is>
          <t>High</t>
        </is>
      </c>
      <c r="L46" s="8" t="inlineStr">
        <is>
          <t>Not Started</t>
        </is>
      </c>
      <c r="M46" s="8" t="inlineStr"/>
    </row>
    <row r="47">
      <c r="A47" s="8" t="inlineStr">
        <is>
          <t>LR-046</t>
        </is>
      </c>
      <c r="B47" s="8" t="inlineStr">
        <is>
          <t>Overview &amp; Funnel</t>
        </is>
      </c>
      <c r="C47" s="8" t="inlineStr">
        <is>
          <t>Opportunity Conversion</t>
        </is>
      </c>
      <c r="D47" s="8" t="inlineStr">
        <is>
          <t>Opportunity Conversion = Converted ÷ Leads Captured</t>
        </is>
      </c>
      <c r="E47" s="8" t="inlineStr">
        <is>
          <t>Logged in as CRM Administrator; Lead Reports open (https://qa-crm.asquareab.com/reports/leads)</t>
        </is>
      </c>
      <c r="F47" s="8" t="inlineStr">
        <is>
          <t>1. Read Opportunity Conversion</t>
        </is>
      </c>
      <c r="G47" s="8" t="inlineStr"/>
      <c r="H47" s="8" t="inlineStr">
        <is>
          <t>Subtitle "N converted to opportunity"; rate = N ÷ Leads Captured</t>
        </is>
      </c>
      <c r="I47" s="8" t="inlineStr">
        <is>
          <t>19.7% = 121 ÷ 613</t>
        </is>
      </c>
      <c r="J47" s="8" t="inlineStr">
        <is>
          <t>Functional</t>
        </is>
      </c>
      <c r="K47" s="9" t="inlineStr">
        <is>
          <t>High</t>
        </is>
      </c>
      <c r="L47" s="8" t="inlineStr">
        <is>
          <t>Not Started</t>
        </is>
      </c>
      <c r="M47" s="8" t="inlineStr"/>
    </row>
    <row r="48">
      <c r="A48" s="8" t="inlineStr">
        <is>
          <t>LR-047</t>
        </is>
      </c>
      <c r="B48" s="8" t="inlineStr">
        <is>
          <t>Overview &amp; Funnel</t>
        </is>
      </c>
      <c r="C48" s="8" t="inlineStr">
        <is>
          <t>SPA Signed</t>
        </is>
      </c>
      <c r="D48" s="8" t="inlineStr">
        <is>
          <t>SPA Signed count opens its leads; Win rate is correct</t>
        </is>
      </c>
      <c r="E48" s="8" t="inlineStr">
        <is>
          <t>Logged in as CRM Administrator; Lead Reports open (https://qa-crm.asquareab.com/reports/leads)</t>
        </is>
      </c>
      <c r="F48" s="8" t="inlineStr">
        <is>
          <t>1. Read SPA Signed and subtitle
2. Click the value</t>
        </is>
      </c>
      <c r="G48" s="8" t="inlineStr"/>
      <c r="H48" s="8" t="inlineStr">
        <is>
          <t>Win rate = SPA Signed ÷ Leads Captured; drill-down "Leads with a signed SPA" lists the same number of leads</t>
        </is>
      </c>
      <c r="I48" s="8" t="inlineStr">
        <is>
          <t>Win rate 12.4% (76 ÷ 613); Clicked 76 = header 76 = 76 rows; export 76 rows; no duplicates (verification #2)</t>
        </is>
      </c>
      <c r="J48" s="8" t="inlineStr">
        <is>
          <t>Functional</t>
        </is>
      </c>
      <c r="K48" s="9" t="inlineStr">
        <is>
          <t>High</t>
        </is>
      </c>
      <c r="L48" s="15" t="inlineStr">
        <is>
          <t>Pass</t>
        </is>
      </c>
      <c r="M48" s="8" t="inlineStr">
        <is>
          <t>Executed 13-Oct-2026 (scripted check, see Drill-down Verification)</t>
        </is>
      </c>
    </row>
    <row r="49">
      <c r="A49" s="8" t="inlineStr">
        <is>
          <t>LR-048</t>
        </is>
      </c>
      <c r="B49" s="8" t="inlineStr">
        <is>
          <t>Overview &amp; Funnel</t>
        </is>
      </c>
      <c r="C49" s="8" t="inlineStr">
        <is>
          <t>Won Value</t>
        </is>
      </c>
      <c r="D49" s="8" t="inlineStr">
        <is>
          <t>Won Value is shown in base currency</t>
        </is>
      </c>
      <c r="E49" s="8" t="inlineStr">
        <is>
          <t>Logged in as CRM Administrator; Lead Reports open (https://qa-crm.asquareab.com/reports/leads)</t>
        </is>
      </c>
      <c r="F49" s="8" t="inlineStr">
        <is>
          <t>1. Read Won Value</t>
        </is>
      </c>
      <c r="G49" s="8" t="inlineStr"/>
      <c r="H49" s="8" t="inlineStr">
        <is>
          <t>Contract value of signed SPAs in base currency, e.g. "148.48M USD"; equals Sales Reports "Won value" for the same period</t>
        </is>
      </c>
      <c r="I49" s="8" t="inlineStr">
        <is>
          <t>148.48M USD</t>
        </is>
      </c>
      <c r="J49" s="8" t="inlineStr">
        <is>
          <t>Functional</t>
        </is>
      </c>
      <c r="K49" s="10" t="inlineStr">
        <is>
          <t>Medium</t>
        </is>
      </c>
      <c r="L49" s="8" t="inlineStr">
        <is>
          <t>Not Started</t>
        </is>
      </c>
      <c r="M49" s="8" t="inlineStr"/>
    </row>
    <row r="50">
      <c r="A50" s="8" t="inlineStr">
        <is>
          <t>LR-049</t>
        </is>
      </c>
      <c r="B50" s="8" t="inlineStr">
        <is>
          <t>Overview &amp; Funnel</t>
        </is>
      </c>
      <c r="C50" s="8" t="inlineStr">
        <is>
          <t>Avg Time to First Contact</t>
        </is>
      </c>
      <c r="D50" s="8" t="inlineStr">
        <is>
          <t>Average time to first contact</t>
        </is>
      </c>
      <c r="E50" s="8" t="inlineStr">
        <is>
          <t>Logged in as CRM Administrator; Lead Reports open (https://qa-crm.asquareab.com/reports/leads)</t>
        </is>
      </c>
      <c r="F50" s="8" t="inlineStr">
        <is>
          <t>1. Read Avg Time to First Contact</t>
        </is>
      </c>
      <c r="G50" s="8" t="inlineStr"/>
      <c r="H50" s="8" t="inlineStr">
        <is>
          <t>Shown in days ("2.8 d"); equals the average on Qualification &amp; Conversion "Capture → First Contact"</t>
        </is>
      </c>
      <c r="I50" s="8" t="inlineStr">
        <is>
          <t>2.8 d (Qualification tab average 2.8 d)</t>
        </is>
      </c>
      <c r="J50" s="8" t="inlineStr">
        <is>
          <t>Functional</t>
        </is>
      </c>
      <c r="K50" s="10" t="inlineStr">
        <is>
          <t>Medium</t>
        </is>
      </c>
      <c r="L50" s="8" t="inlineStr">
        <is>
          <t>Not Started</t>
        </is>
      </c>
      <c r="M50" s="8" t="inlineStr"/>
    </row>
    <row r="51">
      <c r="A51" s="8" t="inlineStr">
        <is>
          <t>LR-050</t>
        </is>
      </c>
      <c r="B51" s="8" t="inlineStr">
        <is>
          <t>Overview &amp; Funnel</t>
        </is>
      </c>
      <c r="C51" s="8" t="inlineStr">
        <is>
          <t>Open Leads Now</t>
        </is>
      </c>
      <c r="D51" s="8" t="inlineStr">
        <is>
          <t>Open Leads Now count opens today's open leads</t>
        </is>
      </c>
      <c r="E51" s="8" t="inlineStr">
        <is>
          <t>Logged in as CRM Administrator; Lead Reports open (https://qa-crm.asquareab.com/reports/leads)</t>
        </is>
      </c>
      <c r="F51" s="8" t="inlineStr">
        <is>
          <t>1. Click the Open Leads Now value</t>
        </is>
      </c>
      <c r="G51" s="8" t="inlineStr"/>
      <c r="H51" s="8" t="inlineStr">
        <is>
          <t>Drill-down "Open leads (today)" with the same count, marked "as of today"; value does not change with the period</t>
        </is>
      </c>
      <c r="I51" s="8" t="inlineStr">
        <is>
          <t>Clicked 364 = header 364 = 364 rows; export 364 rows; no duplicates (verification #3); marked "as of today"</t>
        </is>
      </c>
      <c r="J51" s="8" t="inlineStr">
        <is>
          <t>Functional</t>
        </is>
      </c>
      <c r="K51" s="9" t="inlineStr">
        <is>
          <t>High</t>
        </is>
      </c>
      <c r="L51" s="15" t="inlineStr">
        <is>
          <t>Pass</t>
        </is>
      </c>
      <c r="M51" s="8" t="inlineStr">
        <is>
          <t>Executed 13-Oct-2026 (scripted check, see Drill-down Verification)</t>
        </is>
      </c>
    </row>
    <row r="52">
      <c r="A52" s="8" t="inlineStr">
        <is>
          <t>LR-051</t>
        </is>
      </c>
      <c r="B52" s="8" t="inlineStr">
        <is>
          <t>Overview &amp; Funnel</t>
        </is>
      </c>
      <c r="C52" s="8" t="inlineStr">
        <is>
          <t>Open Leads Now</t>
        </is>
      </c>
      <c r="D52" s="8" t="inlineStr">
        <is>
          <t>"idle over 30 days" link opens those leads</t>
        </is>
      </c>
      <c r="E52" s="8" t="inlineStr">
        <is>
          <t>Logged in as CRM Administrator; Lead Reports open (https://qa-crm.asquareab.com/reports/leads)</t>
        </is>
      </c>
      <c r="F52" s="8" t="inlineStr">
        <is>
          <t>1. Click "342" under Open Leads Now</t>
        </is>
      </c>
      <c r="G52" s="8" t="inlineStr"/>
      <c r="H52" s="8" t="inlineStr">
        <is>
          <t>Drill-down "Open leads idle over 30 days" with 342 leads</t>
        </is>
      </c>
      <c r="I52" s="8" t="inlineStr">
        <is>
          <t>Clicked 342 = header 342 = 342 rows; export 342 rows; no duplicates (verification #4); every row open with Idle &gt; 30 d</t>
        </is>
      </c>
      <c r="J52" s="8" t="inlineStr">
        <is>
          <t>Functional</t>
        </is>
      </c>
      <c r="K52" s="9" t="inlineStr">
        <is>
          <t>High</t>
        </is>
      </c>
      <c r="L52" s="15" t="inlineStr">
        <is>
          <t>Pass</t>
        </is>
      </c>
      <c r="M52" s="8" t="inlineStr">
        <is>
          <t>Executed 13-Oct-2026 (scripted check, see Drill-down Verification)</t>
        </is>
      </c>
    </row>
    <row r="53">
      <c r="A53" s="8" t="inlineStr">
        <is>
          <t>LR-052</t>
        </is>
      </c>
      <c r="B53" s="8" t="inlineStr">
        <is>
          <t>Overview &amp; Funnel</t>
        </is>
      </c>
      <c r="C53" s="8" t="inlineStr">
        <is>
          <t>Open Leads Now</t>
        </is>
      </c>
      <c r="D53" s="8" t="inlineStr">
        <is>
          <t>"never contacted" link opens those leads</t>
        </is>
      </c>
      <c r="E53" s="8" t="inlineStr">
        <is>
          <t>Logged in as CRM Administrator; Lead Reports open (https://qa-crm.asquareab.com/reports/leads)</t>
        </is>
      </c>
      <c r="F53" s="8" t="inlineStr">
        <is>
          <t>1. Click "163" under Open Leads Now</t>
        </is>
      </c>
      <c r="G53" s="8" t="inlineStr"/>
      <c r="H53" s="8" t="inlineStr">
        <is>
          <t>Drill-down "Open leads never contacted" with 163 leads</t>
        </is>
      </c>
      <c r="I53" s="8" t="inlineStr">
        <is>
          <t>Clicked 163 = header 163 = 163 rows; export 163 rows; no duplicates (verification #5); every row open with no First Contact</t>
        </is>
      </c>
      <c r="J53" s="8" t="inlineStr">
        <is>
          <t>Functional</t>
        </is>
      </c>
      <c r="K53" s="9" t="inlineStr">
        <is>
          <t>High</t>
        </is>
      </c>
      <c r="L53" s="15" t="inlineStr">
        <is>
          <t>Pass</t>
        </is>
      </c>
      <c r="M53" s="8" t="inlineStr">
        <is>
          <t>Executed 13-Oct-2026 (scripted check, see Drill-down Verification)</t>
        </is>
      </c>
    </row>
    <row r="54">
      <c r="A54" s="8" t="inlineStr">
        <is>
          <t>LR-053</t>
        </is>
      </c>
      <c r="B54" s="8" t="inlineStr">
        <is>
          <t>Overview &amp; Funnel</t>
        </is>
      </c>
      <c r="C54" s="8" t="inlineStr">
        <is>
          <t>KPI cards</t>
        </is>
      </c>
      <c r="D54" s="8" t="inlineStr">
        <is>
          <t>Rate, value and time cards are not clickable</t>
        </is>
      </c>
      <c r="E54" s="8" t="inlineStr">
        <is>
          <t>Logged in as CRM Administrator; Lead Reports open (https://qa-crm.asquareab.com/reports/leads)</t>
        </is>
      </c>
      <c r="F54" s="8" t="inlineStr">
        <is>
          <t>1. Hover Contact Rate, Qualification Rate, Opportunity Conversion, Won Value, Avg Time</t>
        </is>
      </c>
      <c r="G54" s="8" t="inlineStr"/>
      <c r="H54" s="8" t="inlineStr">
        <is>
          <t>No link cursor; clicking does nothing</t>
        </is>
      </c>
      <c r="I54" s="8" t="inlineStr">
        <is>
          <t>As expected (only Leads Captured, SPA Signed and Open Leads Now counts are links)</t>
        </is>
      </c>
      <c r="J54" s="8" t="inlineStr">
        <is>
          <t>UI</t>
        </is>
      </c>
      <c r="K54" s="11" t="inlineStr">
        <is>
          <t>Low</t>
        </is>
      </c>
      <c r="L54" s="8" t="inlineStr">
        <is>
          <t>Not Started</t>
        </is>
      </c>
      <c r="M54" s="8" t="inlineStr"/>
    </row>
    <row r="55">
      <c r="A55" s="8" t="inlineStr">
        <is>
          <t>LR-054</t>
        </is>
      </c>
      <c r="B55" s="8" t="inlineStr">
        <is>
          <t>Overview &amp; Funnel</t>
        </is>
      </c>
      <c r="C55" s="8" t="inlineStr">
        <is>
          <t>Lead Funnel</t>
        </is>
      </c>
      <c r="D55" s="8" t="inlineStr">
        <is>
          <t>Funnel shows 6 steps in order</t>
        </is>
      </c>
      <c r="E55" s="8" t="inlineStr">
        <is>
          <t>Logged in as CRM Administrator; Lead Reports open (https://qa-crm.asquareab.com/reports/leads)</t>
        </is>
      </c>
      <c r="F55" s="8" t="inlineStr">
        <is>
          <t>1. Look at Lead Funnel</t>
        </is>
      </c>
      <c r="G55" s="8" t="inlineStr"/>
      <c r="H55" s="8" t="inlineStr">
        <is>
          <t>Captured → Contacted → Qualified → Opportunity → Reserved → SPA Signed, each with a bar, count and %</t>
        </is>
      </c>
      <c r="I55" s="8" t="inlineStr">
        <is>
          <t>613 → 322 → 249 → 121 → 106 → 76</t>
        </is>
      </c>
      <c r="J55" s="8" t="inlineStr">
        <is>
          <t>UI</t>
        </is>
      </c>
      <c r="K55" s="9" t="inlineStr">
        <is>
          <t>High</t>
        </is>
      </c>
      <c r="L55" s="8" t="inlineStr">
        <is>
          <t>Not Started</t>
        </is>
      </c>
      <c r="M55" s="8" t="inlineStr"/>
    </row>
    <row r="56">
      <c r="A56" s="8" t="inlineStr">
        <is>
          <t>LR-055</t>
        </is>
      </c>
      <c r="B56" s="8" t="inlineStr">
        <is>
          <t>Overview &amp; Funnel</t>
        </is>
      </c>
      <c r="C56" s="8" t="inlineStr">
        <is>
          <t>Lead Funnel</t>
        </is>
      </c>
      <c r="D56" s="8" t="inlineStr">
        <is>
          <t>Funnel counts never increase and rates are correct</t>
        </is>
      </c>
      <c r="E56" s="8" t="inlineStr">
        <is>
          <t>Logged in as CRM Administrator; Lead Reports open (https://qa-crm.asquareab.com/reports/leads)</t>
        </is>
      </c>
      <c r="F56" s="8" t="inlineStr">
        <is>
          <t>1. Read each step</t>
        </is>
      </c>
      <c r="G56" s="8" t="inlineStr"/>
      <c r="H56" s="8" t="inlineStr">
        <is>
          <t>Each count ≤ the step above; % = count ÷ Captured; "step %" = count ÷ previous step; bar length = %</t>
        </is>
      </c>
      <c r="I56" s="8" t="inlineStr">
        <is>
          <t>Contacted 52.5% · step 52.5%; Qualified 40.6% · step 77.3%; Opportunity 19.7% · step 48.6%; Reserved 17.3% · step 87.6%; SPA 12.4% · step 71.7%</t>
        </is>
      </c>
      <c r="J56" s="8" t="inlineStr">
        <is>
          <t>Functional</t>
        </is>
      </c>
      <c r="K56" s="9" t="inlineStr">
        <is>
          <t>High</t>
        </is>
      </c>
      <c r="L56" s="8" t="inlineStr">
        <is>
          <t>Not Started</t>
        </is>
      </c>
      <c r="M56" s="8" t="inlineStr"/>
    </row>
    <row r="57">
      <c r="A57" s="8" t="inlineStr">
        <is>
          <t>LR-056</t>
        </is>
      </c>
      <c r="B57" s="8" t="inlineStr">
        <is>
          <t>Overview &amp; Funnel</t>
        </is>
      </c>
      <c r="C57" s="8" t="inlineStr">
        <is>
          <t>Lead Funnel</t>
        </is>
      </c>
      <c r="D57" s="8" t="inlineStr">
        <is>
          <t>Funnel agrees with the KPI cards</t>
        </is>
      </c>
      <c r="E57" s="8" t="inlineStr">
        <is>
          <t>Logged in as CRM Administrator; Lead Reports open (https://qa-crm.asquareab.com/reports/leads)</t>
        </is>
      </c>
      <c r="F57" s="8" t="inlineStr">
        <is>
          <t>1. Compare funnel counts with the KPI cards</t>
        </is>
      </c>
      <c r="G57" s="8" t="inlineStr"/>
      <c r="H57" s="8" t="inlineStr">
        <is>
          <t>Captured = Leads Captured; Contacted/Qualified/Opportunity % = the three rate cards; SPA Signed = SPA Signed card</t>
        </is>
      </c>
      <c r="I57" s="8" t="inlineStr">
        <is>
          <t>As expected</t>
        </is>
      </c>
      <c r="J57" s="8" t="inlineStr">
        <is>
          <t>Functional</t>
        </is>
      </c>
      <c r="K57" s="9" t="inlineStr">
        <is>
          <t>High</t>
        </is>
      </c>
      <c r="L57" s="8" t="inlineStr">
        <is>
          <t>Not Started</t>
        </is>
      </c>
      <c r="M57" s="8" t="inlineStr"/>
    </row>
    <row r="58">
      <c r="A58" s="8" t="inlineStr">
        <is>
          <t>LR-057</t>
        </is>
      </c>
      <c r="B58" s="8" t="inlineStr">
        <is>
          <t>Overview &amp; Funnel</t>
        </is>
      </c>
      <c r="C58" s="8" t="inlineStr">
        <is>
          <t>Lead Funnel</t>
        </is>
      </c>
      <c r="D58" s="8" t="inlineStr">
        <is>
          <t>Funnel "Captured" count opens its leads</t>
        </is>
      </c>
      <c r="E58" s="8" t="inlineStr">
        <is>
          <t>Logged in as CRM Administrator; Lead Reports open (https://qa-crm.asquareab.com/reports/leads)</t>
        </is>
      </c>
      <c r="F58" s="8" t="inlineStr">
        <is>
          <t>1. Click the Captured count in the funnel</t>
        </is>
      </c>
      <c r="G58" s="8" t="inlineStr"/>
      <c r="H58" s="8" t="inlineStr">
        <is>
          <t>Drill-down titled "Captured" lists exactly that many leads (bucket=captured)</t>
        </is>
      </c>
      <c r="I58" s="8" t="inlineStr">
        <is>
          <t>Clicked 613 = header 613; 500 rows shown + "showing the first 500"; export 613 rows; no duplicates (verification #6)</t>
        </is>
      </c>
      <c r="J58" s="8" t="inlineStr">
        <is>
          <t>Functional</t>
        </is>
      </c>
      <c r="K58" s="9" t="inlineStr">
        <is>
          <t>High</t>
        </is>
      </c>
      <c r="L58" s="15" t="inlineStr">
        <is>
          <t>Pass</t>
        </is>
      </c>
      <c r="M58" s="8" t="inlineStr">
        <is>
          <t>Executed 13-Oct-2026 (scripted check, see Drill-down Verification)</t>
        </is>
      </c>
    </row>
    <row r="59">
      <c r="A59" s="8" t="inlineStr">
        <is>
          <t>LR-058</t>
        </is>
      </c>
      <c r="B59" s="8" t="inlineStr">
        <is>
          <t>Overview &amp; Funnel</t>
        </is>
      </c>
      <c r="C59" s="8" t="inlineStr">
        <is>
          <t>Lead Funnel</t>
        </is>
      </c>
      <c r="D59" s="8" t="inlineStr">
        <is>
          <t>Funnel "Contacted" count opens its leads</t>
        </is>
      </c>
      <c r="E59" s="8" t="inlineStr">
        <is>
          <t>Logged in as CRM Administrator; Lead Reports open (https://qa-crm.asquareab.com/reports/leads)</t>
        </is>
      </c>
      <c r="F59" s="8" t="inlineStr">
        <is>
          <t>1. Click the Contacted count in the funnel</t>
        </is>
      </c>
      <c r="G59" s="8" t="inlineStr"/>
      <c r="H59" s="8" t="inlineStr">
        <is>
          <t>Drill-down titled "Contacted" lists exactly that many leads (bucket=contacted)</t>
        </is>
      </c>
      <c r="I59" s="12" t="inlineStr">
        <is>
          <t>Clicked 322 = header 322 = 322 rows; export 322 rows; no duplicates (verification #7); 71 rows have status "Contacted" but no First Contact date; they count as contacted through the status change (page definition) and none of them is in "Never contacted" — consistent, see OBS-13</t>
        </is>
      </c>
      <c r="J59" s="8" t="inlineStr">
        <is>
          <t>Functional</t>
        </is>
      </c>
      <c r="K59" s="9" t="inlineStr">
        <is>
          <t>High</t>
        </is>
      </c>
      <c r="L59" s="15" t="inlineStr">
        <is>
          <t>Pass</t>
        </is>
      </c>
      <c r="M59" s="8" t="inlineStr">
        <is>
          <t>Executed 13-Oct-2026 (scripted check, see Drill-down Verification)</t>
        </is>
      </c>
    </row>
    <row r="60">
      <c r="A60" s="8" t="inlineStr">
        <is>
          <t>LR-059</t>
        </is>
      </c>
      <c r="B60" s="8" t="inlineStr">
        <is>
          <t>Overview &amp; Funnel</t>
        </is>
      </c>
      <c r="C60" s="8" t="inlineStr">
        <is>
          <t>Lead Funnel</t>
        </is>
      </c>
      <c r="D60" s="8" t="inlineStr">
        <is>
          <t>Funnel "Qualified" count opens its leads</t>
        </is>
      </c>
      <c r="E60" s="8" t="inlineStr">
        <is>
          <t>Logged in as CRM Administrator; Lead Reports open (https://qa-crm.asquareab.com/reports/leads)</t>
        </is>
      </c>
      <c r="F60" s="8" t="inlineStr">
        <is>
          <t>1. Click the Qualified count in the funnel</t>
        </is>
      </c>
      <c r="G60" s="8" t="inlineStr"/>
      <c r="H60" s="8" t="inlineStr">
        <is>
          <t>Drill-down titled "Qualified" lists exactly that many leads (bucket=qualified)</t>
        </is>
      </c>
      <c r="I60" s="8" t="inlineStr">
        <is>
          <t>Clicked 249 = header 249 = 249 rows; export 249 rows; no duplicates (verification #8)</t>
        </is>
      </c>
      <c r="J60" s="8" t="inlineStr">
        <is>
          <t>Functional</t>
        </is>
      </c>
      <c r="K60" s="10" t="inlineStr">
        <is>
          <t>Medium</t>
        </is>
      </c>
      <c r="L60" s="15" t="inlineStr">
        <is>
          <t>Pass</t>
        </is>
      </c>
      <c r="M60" s="8" t="inlineStr">
        <is>
          <t>Executed 13-Oct-2026 (scripted check, see Drill-down Verification)</t>
        </is>
      </c>
    </row>
    <row r="61">
      <c r="A61" s="8" t="inlineStr">
        <is>
          <t>LR-060</t>
        </is>
      </c>
      <c r="B61" s="8" t="inlineStr">
        <is>
          <t>Overview &amp; Funnel</t>
        </is>
      </c>
      <c r="C61" s="8" t="inlineStr">
        <is>
          <t>Lead Funnel</t>
        </is>
      </c>
      <c r="D61" s="8" t="inlineStr">
        <is>
          <t>Funnel "Opportunity" count opens its leads</t>
        </is>
      </c>
      <c r="E61" s="8" t="inlineStr">
        <is>
          <t>Logged in as CRM Administrator; Lead Reports open (https://qa-crm.asquareab.com/reports/leads)</t>
        </is>
      </c>
      <c r="F61" s="8" t="inlineStr">
        <is>
          <t>1. Click the Opportunity count in the funnel</t>
        </is>
      </c>
      <c r="G61" s="8" t="inlineStr"/>
      <c r="H61" s="8" t="inlineStr">
        <is>
          <t>Drill-down titled "Opportunity" lists exactly that many leads (bucket=converted)</t>
        </is>
      </c>
      <c r="I61" s="8" t="inlineStr">
        <is>
          <t>Clicked 121 = header 121 = 121 rows; export 121 rows; no duplicates (verification #9)</t>
        </is>
      </c>
      <c r="J61" s="8" t="inlineStr">
        <is>
          <t>Functional</t>
        </is>
      </c>
      <c r="K61" s="10" t="inlineStr">
        <is>
          <t>Medium</t>
        </is>
      </c>
      <c r="L61" s="15" t="inlineStr">
        <is>
          <t>Pass</t>
        </is>
      </c>
      <c r="M61" s="8" t="inlineStr">
        <is>
          <t>Executed 13-Oct-2026 (scripted check, see Drill-down Verification)</t>
        </is>
      </c>
    </row>
    <row r="62">
      <c r="A62" s="8" t="inlineStr">
        <is>
          <t>LR-061</t>
        </is>
      </c>
      <c r="B62" s="8" t="inlineStr">
        <is>
          <t>Overview &amp; Funnel</t>
        </is>
      </c>
      <c r="C62" s="8" t="inlineStr">
        <is>
          <t>Lead Funnel</t>
        </is>
      </c>
      <c r="D62" s="8" t="inlineStr">
        <is>
          <t>Funnel "Reserved" count opens its leads</t>
        </is>
      </c>
      <c r="E62" s="8" t="inlineStr">
        <is>
          <t>Logged in as CRM Administrator; Lead Reports open (https://qa-crm.asquareab.com/reports/leads)</t>
        </is>
      </c>
      <c r="F62" s="8" t="inlineStr">
        <is>
          <t>1. Click the Reserved count in the funnel</t>
        </is>
      </c>
      <c r="G62" s="8" t="inlineStr"/>
      <c r="H62" s="8" t="inlineStr">
        <is>
          <t>Drill-down titled "Reserved" lists exactly that many leads (bucket=reserved)</t>
        </is>
      </c>
      <c r="I62" s="8" t="inlineStr">
        <is>
          <t>Clicked 106 = header 106 = 106 rows; export 106 rows; no duplicates (verification #10)</t>
        </is>
      </c>
      <c r="J62" s="8" t="inlineStr">
        <is>
          <t>Functional</t>
        </is>
      </c>
      <c r="K62" s="10" t="inlineStr">
        <is>
          <t>Medium</t>
        </is>
      </c>
      <c r="L62" s="15" t="inlineStr">
        <is>
          <t>Pass</t>
        </is>
      </c>
      <c r="M62" s="8" t="inlineStr">
        <is>
          <t>Executed 13-Oct-2026 (scripted check, see Drill-down Verification)</t>
        </is>
      </c>
    </row>
    <row r="63">
      <c r="A63" s="8" t="inlineStr">
        <is>
          <t>LR-062</t>
        </is>
      </c>
      <c r="B63" s="8" t="inlineStr">
        <is>
          <t>Overview &amp; Funnel</t>
        </is>
      </c>
      <c r="C63" s="8" t="inlineStr">
        <is>
          <t>Lead Funnel</t>
        </is>
      </c>
      <c r="D63" s="8" t="inlineStr">
        <is>
          <t>Funnel "SPA Signed" count opens its leads</t>
        </is>
      </c>
      <c r="E63" s="8" t="inlineStr">
        <is>
          <t>Logged in as CRM Administrator; Lead Reports open (https://qa-crm.asquareab.com/reports/leads)</t>
        </is>
      </c>
      <c r="F63" s="8" t="inlineStr">
        <is>
          <t>1. Click the SPA Signed count in the funnel</t>
        </is>
      </c>
      <c r="G63" s="8" t="inlineStr"/>
      <c r="H63" s="8" t="inlineStr">
        <is>
          <t>Drill-down titled "SPA Signed" lists exactly that many leads (bucket=won)</t>
        </is>
      </c>
      <c r="I63" s="8" t="inlineStr">
        <is>
          <t>Clicked 76 = header 76 = 76 rows; export 76 rows; no duplicates (verification #11)</t>
        </is>
      </c>
      <c r="J63" s="8" t="inlineStr">
        <is>
          <t>Functional</t>
        </is>
      </c>
      <c r="K63" s="10" t="inlineStr">
        <is>
          <t>Medium</t>
        </is>
      </c>
      <c r="L63" s="15" t="inlineStr">
        <is>
          <t>Pass</t>
        </is>
      </c>
      <c r="M63" s="8" t="inlineStr">
        <is>
          <t>Executed 13-Oct-2026 (scripted check, see Drill-down Verification)</t>
        </is>
      </c>
    </row>
    <row r="64">
      <c r="A64" s="8" t="inlineStr">
        <is>
          <t>LR-063</t>
        </is>
      </c>
      <c r="B64" s="8" t="inlineStr">
        <is>
          <t>Overview &amp; Funnel</t>
        </is>
      </c>
      <c r="C64" s="8" t="inlineStr">
        <is>
          <t>Lead Funnel</t>
        </is>
      </c>
      <c r="D64" s="8" t="inlineStr">
        <is>
          <t>Funnel with no data</t>
        </is>
      </c>
      <c r="E64" s="8" t="inlineStr">
        <is>
          <t>Logged in as CRM Administrator; Lead Reports open (https://qa-crm.asquareab.com/reports/leads)</t>
        </is>
      </c>
      <c r="F64" s="8" t="inlineStr">
        <is>
          <t>1. Custom dates 01-Jan-2000 → 31-Jan-2000</t>
        </is>
      </c>
      <c r="G64" s="8" t="inlineStr"/>
      <c r="H64" s="8" t="inlineStr">
        <is>
          <t>All steps show 0 and empty bars; no NaN</t>
        </is>
      </c>
      <c r="I64" s="8" t="inlineStr">
        <is>
          <t>Covered by automated test LDR-16</t>
        </is>
      </c>
      <c r="J64" s="8" t="inlineStr">
        <is>
          <t>Negative</t>
        </is>
      </c>
      <c r="K64" s="10" t="inlineStr">
        <is>
          <t>Medium</t>
        </is>
      </c>
      <c r="L64" s="8" t="inlineStr">
        <is>
          <t>Not Started</t>
        </is>
      </c>
      <c r="M64" s="8" t="inlineStr"/>
    </row>
    <row r="65">
      <c r="A65" s="8" t="inlineStr">
        <is>
          <t>LR-064</t>
        </is>
      </c>
      <c r="B65" s="8" t="inlineStr">
        <is>
          <t>Overview &amp; Funnel</t>
        </is>
      </c>
      <c r="C65" s="8" t="inlineStr">
        <is>
          <t>Data Completeness</t>
        </is>
      </c>
      <c r="D65" s="8" t="inlineStr">
        <is>
          <t>Data Completeness rows are correct</t>
        </is>
      </c>
      <c r="E65" s="8" t="inlineStr">
        <is>
          <t>Logged in as CRM Administrator; Lead Reports open (https://qa-crm.asquareab.com/reports/leads)</t>
        </is>
      </c>
      <c r="F65" s="8" t="inlineStr">
        <is>
          <t>1. Read the 4 rows</t>
        </is>
      </c>
      <c r="G65" s="8" t="inlineStr"/>
      <c r="H65" s="8" t="inlineStr">
        <is>
          <t>Lead source recorded, Salesperson assigned, First contact recorded, Interaction logged — each "filled / total (x%)" with total = Leads Captured and x = filled ÷ total</t>
        </is>
      </c>
      <c r="I65" s="8" t="inlineStr">
        <is>
          <t>41/613 (6.7%), 611/613 (99.7%), 251/613 (40.9%), 35/613 (5.7%)</t>
        </is>
      </c>
      <c r="J65" s="8" t="inlineStr">
        <is>
          <t>Functional</t>
        </is>
      </c>
      <c r="K65" s="10" t="inlineStr">
        <is>
          <t>Medium</t>
        </is>
      </c>
      <c r="L65" s="8" t="inlineStr">
        <is>
          <t>Not Started</t>
        </is>
      </c>
      <c r="M65" s="8" t="inlineStr"/>
    </row>
    <row r="66">
      <c r="A66" s="8" t="inlineStr">
        <is>
          <t>LR-065</t>
        </is>
      </c>
      <c r="B66" s="8" t="inlineStr">
        <is>
          <t>Overview &amp; Funnel</t>
        </is>
      </c>
      <c r="C66" s="8" t="inlineStr">
        <is>
          <t>Data Completeness</t>
        </is>
      </c>
      <c r="D66" s="8" t="inlineStr">
        <is>
          <t>Data Completeness follows the filters</t>
        </is>
      </c>
      <c r="E66" s="8" t="inlineStr">
        <is>
          <t>Logged in as CRM Administrator; Lead Reports open (https://qa-crm.asquareab.com/reports/leads)</t>
        </is>
      </c>
      <c r="F66" s="8" t="inlineStr">
        <is>
          <t>1. Lead Source = Digital Marketing</t>
        </is>
      </c>
      <c r="G66" s="8" t="inlineStr"/>
      <c r="H66" s="8" t="inlineStr">
        <is>
          <t>Totals become 18 and percentages recalculate</t>
        </is>
      </c>
      <c r="I66" s="8" t="inlineStr">
        <is>
          <t>To verify</t>
        </is>
      </c>
      <c r="J66" s="8" t="inlineStr">
        <is>
          <t>Functional</t>
        </is>
      </c>
      <c r="K66" s="10" t="inlineStr">
        <is>
          <t>Medium</t>
        </is>
      </c>
      <c r="L66" s="8" t="inlineStr">
        <is>
          <t>Not Started</t>
        </is>
      </c>
      <c r="M66" s="8" t="inlineStr"/>
    </row>
    <row r="67">
      <c r="A67" s="8" t="inlineStr">
        <is>
          <t>LR-066</t>
        </is>
      </c>
      <c r="B67" s="8" t="inlineStr">
        <is>
          <t>Overview &amp; Funnel</t>
        </is>
      </c>
      <c r="C67" s="8" t="inlineStr">
        <is>
          <t>12-Month Trend</t>
        </is>
      </c>
      <c r="D67" s="8" t="inlineStr">
        <is>
          <t>Trend shows the last 12 months</t>
        </is>
      </c>
      <c r="E67" s="8" t="inlineStr">
        <is>
          <t>Logged in as CRM Administrator; Lead Reports open (https://qa-crm.asquareab.com/reports/leads)</t>
        </is>
      </c>
      <c r="F67" s="8" t="inlineStr">
        <is>
          <t>1. Look at 12-Month Trend</t>
        </is>
      </c>
      <c r="G67" s="8" t="inlineStr"/>
      <c r="H67" s="8" t="inlineStr">
        <is>
          <t>12 columns ending with the current month (label "Mon YY"), each with leads captured and "x opp · y SPA"</t>
        </is>
      </c>
      <c r="I67" s="8" t="inlineStr">
        <is>
          <t>Nov 25 … Oct 26 shown</t>
        </is>
      </c>
      <c r="J67" s="8" t="inlineStr">
        <is>
          <t>UI</t>
        </is>
      </c>
      <c r="K67" s="10" t="inlineStr">
        <is>
          <t>Medium</t>
        </is>
      </c>
      <c r="L67" s="8" t="inlineStr">
        <is>
          <t>Not Started</t>
        </is>
      </c>
      <c r="M67" s="8" t="inlineStr"/>
    </row>
    <row r="68">
      <c r="A68" s="8" t="inlineStr">
        <is>
          <t>LR-067</t>
        </is>
      </c>
      <c r="B68" s="8" t="inlineStr">
        <is>
          <t>Overview &amp; Funnel</t>
        </is>
      </c>
      <c r="C68" s="8" t="inlineStr">
        <is>
          <t>12-Month Trend</t>
        </is>
      </c>
      <c r="D68" s="8" t="inlineStr">
        <is>
          <t>Trend totals match Leads Captured</t>
        </is>
      </c>
      <c r="E68" s="8" t="inlineStr">
        <is>
          <t>Logged in as CRM Administrator; Lead Reports open (https://qa-crm.asquareab.com/reports/leads)</t>
        </is>
      </c>
      <c r="F68" s="8" t="inlineStr">
        <is>
          <t>1. Period = Last 12 months
2. Add the 12 monthly values</t>
        </is>
      </c>
      <c r="G68" s="8" t="inlineStr"/>
      <c r="H68" s="8" t="inlineStr">
        <is>
          <t>Sum = Leads Captured; bar heights proportional to the values; opp ≤ captured and SPA ≤ opp per month</t>
        </is>
      </c>
      <c r="I68" s="8" t="inlineStr">
        <is>
          <t>To verify (automated LDR-14)</t>
        </is>
      </c>
      <c r="J68" s="8" t="inlineStr">
        <is>
          <t>Functional</t>
        </is>
      </c>
      <c r="K68" s="9" t="inlineStr">
        <is>
          <t>High</t>
        </is>
      </c>
      <c r="L68" s="8" t="inlineStr">
        <is>
          <t>Not Started</t>
        </is>
      </c>
      <c r="M68" s="8" t="inlineStr"/>
    </row>
    <row r="69">
      <c r="A69" s="8" t="inlineStr">
        <is>
          <t>LR-068</t>
        </is>
      </c>
      <c r="B69" s="8" t="inlineStr">
        <is>
          <t>Drill-down list</t>
        </is>
      </c>
      <c r="C69" s="8" t="inlineStr">
        <is>
          <t>Drill-down</t>
        </is>
      </c>
      <c r="D69" s="8" t="inlineStr">
        <is>
          <t>Drill-down list layout</t>
        </is>
      </c>
      <c r="E69" s="8" t="inlineStr">
        <is>
          <t>Logged in as CRM Administrator; Lead Reports open (https://qa-crm.asquareab.com/reports/leads)</t>
        </is>
      </c>
      <c r="F69" s="8" t="inlineStr">
        <is>
          <t>1. Click any count (e.g. funnel Contacted)</t>
        </is>
      </c>
      <c r="G69" s="8" t="inlineStr"/>
      <c r="H69" s="8" t="inlineStr">
        <is>
          <t>Panel opens below the report and scrolls into view: title, "N leads", Export, Close; columns Lead, Status, Salesperson, Source, Captured, First Contact, Qualified, Idle, Won Value</t>
        </is>
      </c>
      <c r="I69" s="8" t="inlineStr">
        <is>
          <t>As expected</t>
        </is>
      </c>
      <c r="J69" s="8" t="inlineStr">
        <is>
          <t>UI</t>
        </is>
      </c>
      <c r="K69" s="9" t="inlineStr">
        <is>
          <t>High</t>
        </is>
      </c>
      <c r="L69" s="8" t="inlineStr">
        <is>
          <t>Not Started</t>
        </is>
      </c>
      <c r="M69" s="8" t="inlineStr"/>
    </row>
    <row r="70">
      <c r="A70" s="8" t="inlineStr">
        <is>
          <t>LR-069</t>
        </is>
      </c>
      <c r="B70" s="8" t="inlineStr">
        <is>
          <t>Drill-down list</t>
        </is>
      </c>
      <c r="C70" s="8" t="inlineStr">
        <is>
          <t>Drill-down</t>
        </is>
      </c>
      <c r="D70" s="8" t="inlineStr">
        <is>
          <t>Rows listed = the number clicked</t>
        </is>
      </c>
      <c r="E70" s="8" t="inlineStr">
        <is>
          <t>Logged in as CRM Administrator; Lead Reports open (https://qa-crm.asquareab.com/reports/leads)</t>
        </is>
      </c>
      <c r="F70" s="8" t="inlineStr">
        <is>
          <t>1. Click funnel Contacted (322)
2. Count the rows</t>
        </is>
      </c>
      <c r="G70" s="8" t="inlineStr"/>
      <c r="H70" s="8" t="inlineStr">
        <is>
          <t>322 rows, one per lead</t>
        </is>
      </c>
      <c r="I70" s="8" t="inlineStr">
        <is>
          <t>All 179 count links checked: rows listed = clicked number in every case (500 + note when above 500)</t>
        </is>
      </c>
      <c r="J70" s="8" t="inlineStr">
        <is>
          <t>Functional</t>
        </is>
      </c>
      <c r="K70" s="9" t="inlineStr">
        <is>
          <t>High</t>
        </is>
      </c>
      <c r="L70" s="15" t="inlineStr">
        <is>
          <t>Pass</t>
        </is>
      </c>
      <c r="M70" s="8" t="inlineStr">
        <is>
          <t>Executed 13-Oct-2026 (scripted check, see Drill-down Verification)</t>
        </is>
      </c>
    </row>
    <row r="71">
      <c r="A71" s="8" t="inlineStr">
        <is>
          <t>LR-070</t>
        </is>
      </c>
      <c r="B71" s="8" t="inlineStr">
        <is>
          <t>Drill-down list</t>
        </is>
      </c>
      <c r="C71" s="8" t="inlineStr">
        <is>
          <t>Drill-down</t>
        </is>
      </c>
      <c r="D71" s="8" t="inlineStr">
        <is>
          <t>Lists over 500 leads say they are truncated</t>
        </is>
      </c>
      <c r="E71" s="8" t="inlineStr">
        <is>
          <t>Logged in as CRM Administrator; Lead Reports open (https://qa-crm.asquareab.com/reports/leads)</t>
        </is>
      </c>
      <c r="F71" s="8" t="inlineStr">
        <is>
          <t>1. Click Leads Captured (613)</t>
        </is>
      </c>
      <c r="G71" s="8" t="inlineStr"/>
      <c r="H71" s="8" t="inlineStr">
        <is>
          <t>Header says "613 leads · showing the first 500" and 500 rows are shown</t>
        </is>
      </c>
      <c r="I71" s="8" t="inlineStr">
        <is>
          <t>9 lists above 500 (e.g. 613, 597, 587, 581, 572, 569, 555): each shows 500 rows and "N leads · showing the first 500"</t>
        </is>
      </c>
      <c r="J71" s="8" t="inlineStr">
        <is>
          <t>Functional</t>
        </is>
      </c>
      <c r="K71" s="10" t="inlineStr">
        <is>
          <t>Medium</t>
        </is>
      </c>
      <c r="L71" s="15" t="inlineStr">
        <is>
          <t>Pass</t>
        </is>
      </c>
      <c r="M71" s="8" t="inlineStr">
        <is>
          <t>Executed 13-Oct-2026 (scripted check, see Drill-down Verification)</t>
        </is>
      </c>
    </row>
    <row r="72">
      <c r="A72" s="8" t="inlineStr">
        <is>
          <t>LR-071</t>
        </is>
      </c>
      <c r="B72" s="8" t="inlineStr">
        <is>
          <t>Drill-down list</t>
        </is>
      </c>
      <c r="C72" s="8" t="inlineStr">
        <is>
          <t>Drill-down</t>
        </is>
      </c>
      <c r="D72" s="8" t="inlineStr">
        <is>
          <t>Export downloads the listed leads</t>
        </is>
      </c>
      <c r="E72" s="8" t="inlineStr">
        <is>
          <t>Logged in as CRM Administrator; Lead Reports open (https://qa-crm.asquareab.com/reports/leads)</t>
        </is>
      </c>
      <c r="F72" s="8" t="inlineStr">
        <is>
          <t>1. Open a drill-down
2. Click Export</t>
        </is>
      </c>
      <c r="G72" s="8" t="inlineStr"/>
      <c r="H72" s="8" t="inlineStr">
        <is>
          <t>lead-report-leads-&lt;date&gt;.xlsx, sheet "Leads", one row per lead, columns Lead No, Name, Status, Salesperson, Source, Channel, Project, Captured, First Contacted, Qualified, Converted, Last Interaction, Days Idle, Won Value (Base)</t>
        </is>
      </c>
      <c r="I72" s="8" t="inlineStr">
        <is>
          <t>All 179 exports: lead-report-leads-&lt;date&gt;.xlsx, sheet "Leads", 14 columns, rows = count; listed leads all present in the file</t>
        </is>
      </c>
      <c r="J72" s="8" t="inlineStr">
        <is>
          <t>Functional</t>
        </is>
      </c>
      <c r="K72" s="9" t="inlineStr">
        <is>
          <t>High</t>
        </is>
      </c>
      <c r="L72" s="15" t="inlineStr">
        <is>
          <t>Pass</t>
        </is>
      </c>
      <c r="M72" s="8" t="inlineStr">
        <is>
          <t>Executed 13-Oct-2026 (scripted check, see Drill-down Verification)</t>
        </is>
      </c>
    </row>
    <row r="73">
      <c r="A73" s="8" t="inlineStr">
        <is>
          <t>LR-072</t>
        </is>
      </c>
      <c r="B73" s="8" t="inlineStr">
        <is>
          <t>Drill-down list</t>
        </is>
      </c>
      <c r="C73" s="8" t="inlineStr">
        <is>
          <t>Drill-down</t>
        </is>
      </c>
      <c r="D73" s="8" t="inlineStr">
        <is>
          <t>Export of a truncated list contains every lead</t>
        </is>
      </c>
      <c r="E73" s="8" t="inlineStr">
        <is>
          <t>Logged in as CRM Administrator; Lead Reports open (https://qa-crm.asquareab.com/reports/leads)</t>
        </is>
      </c>
      <c r="F73" s="8" t="inlineStr">
        <is>
          <t>1. Open Leads Captured (613)
2. Click Export</t>
        </is>
      </c>
      <c r="G73" s="8" t="inlineStr"/>
      <c r="H73" s="8" t="inlineStr">
        <is>
          <t>The file has 613 rows (not only the 500 shown)</t>
        </is>
      </c>
      <c r="I73" s="8" t="inlineStr">
        <is>
          <t>Leads Captured: 500 shown, export 613 rows; same for all 9 truncated lists (export = full count)</t>
        </is>
      </c>
      <c r="J73" s="8" t="inlineStr">
        <is>
          <t>Functional</t>
        </is>
      </c>
      <c r="K73" s="9" t="inlineStr">
        <is>
          <t>High</t>
        </is>
      </c>
      <c r="L73" s="15" t="inlineStr">
        <is>
          <t>Pass</t>
        </is>
      </c>
      <c r="M73" s="8" t="inlineStr">
        <is>
          <t>Executed 13-Oct-2026 (scripted check, see Drill-down Verification)</t>
        </is>
      </c>
    </row>
    <row r="74">
      <c r="A74" s="8" t="inlineStr">
        <is>
          <t>LR-073</t>
        </is>
      </c>
      <c r="B74" s="8" t="inlineStr">
        <is>
          <t>Drill-down list</t>
        </is>
      </c>
      <c r="C74" s="8" t="inlineStr">
        <is>
          <t>Drill-down</t>
        </is>
      </c>
      <c r="D74" s="8" t="inlineStr">
        <is>
          <t>Close removes the list</t>
        </is>
      </c>
      <c r="E74" s="8" t="inlineStr">
        <is>
          <t>Logged in as CRM Administrator; Lead Reports open (https://qa-crm.asquareab.com/reports/leads)</t>
        </is>
      </c>
      <c r="F74" s="8" t="inlineStr">
        <is>
          <t>1. Open a drill-down
2. Click Close</t>
        </is>
      </c>
      <c r="G74" s="8" t="inlineStr"/>
      <c r="H74" s="8" t="inlineStr">
        <is>
          <t>The list disappears</t>
        </is>
      </c>
      <c r="I74" s="8" t="inlineStr">
        <is>
          <t>As expected</t>
        </is>
      </c>
      <c r="J74" s="8" t="inlineStr">
        <is>
          <t>UI</t>
        </is>
      </c>
      <c r="K74" s="10" t="inlineStr">
        <is>
          <t>Medium</t>
        </is>
      </c>
      <c r="L74" s="8" t="inlineStr">
        <is>
          <t>Not Started</t>
        </is>
      </c>
      <c r="M74" s="8" t="inlineStr"/>
    </row>
    <row r="75">
      <c r="A75" s="8" t="inlineStr">
        <is>
          <t>LR-074</t>
        </is>
      </c>
      <c r="B75" s="8" t="inlineStr">
        <is>
          <t>Drill-down list</t>
        </is>
      </c>
      <c r="C75" s="8" t="inlineStr">
        <is>
          <t>Drill-down</t>
        </is>
      </c>
      <c r="D75" s="8" t="inlineStr">
        <is>
          <t>Escape closes the list</t>
        </is>
      </c>
      <c r="E75" s="8" t="inlineStr">
        <is>
          <t>Logged in as CRM Administrator; Lead Reports open (https://qa-crm.asquareab.com/reports/leads)</t>
        </is>
      </c>
      <c r="F75" s="8" t="inlineStr">
        <is>
          <t>1. Open a drill-down
2. Press Esc</t>
        </is>
      </c>
      <c r="G75" s="8" t="inlineStr"/>
      <c r="H75" s="8" t="inlineStr">
        <is>
          <t>The list closes (keyboard users)</t>
        </is>
      </c>
      <c r="I75" s="12" t="inlineStr">
        <is>
          <t>Does not close (OBS-03)</t>
        </is>
      </c>
      <c r="J75" s="8" t="inlineStr">
        <is>
          <t>Accessibility</t>
        </is>
      </c>
      <c r="K75" s="11" t="inlineStr">
        <is>
          <t>Low</t>
        </is>
      </c>
      <c r="L75" s="8" t="inlineStr">
        <is>
          <t>Not Started</t>
        </is>
      </c>
      <c r="M75" s="8" t="inlineStr"/>
    </row>
    <row r="76">
      <c r="A76" s="8" t="inlineStr">
        <is>
          <t>LR-075</t>
        </is>
      </c>
      <c r="B76" s="8" t="inlineStr">
        <is>
          <t>Drill-down list</t>
        </is>
      </c>
      <c r="C76" s="8" t="inlineStr">
        <is>
          <t>Drill-down</t>
        </is>
      </c>
      <c r="D76" s="8" t="inlineStr">
        <is>
          <t>Opening another count replaces the list</t>
        </is>
      </c>
      <c r="E76" s="8" t="inlineStr">
        <is>
          <t>Logged in as CRM Administrator; Lead Reports open (https://qa-crm.asquareab.com/reports/leads)</t>
        </is>
      </c>
      <c r="F76" s="8" t="inlineStr">
        <is>
          <t>1. Open funnel Contacted
2. Click funnel Qualified</t>
        </is>
      </c>
      <c r="G76" s="8" t="inlineStr"/>
      <c r="H76" s="8" t="inlineStr">
        <is>
          <t>Only one list is shown, now for Qualified</t>
        </is>
      </c>
      <c r="I76" s="8" t="inlineStr">
        <is>
          <t>As expected</t>
        </is>
      </c>
      <c r="J76" s="8" t="inlineStr">
        <is>
          <t>UI</t>
        </is>
      </c>
      <c r="K76" s="10" t="inlineStr">
        <is>
          <t>Medium</t>
        </is>
      </c>
      <c r="L76" s="8" t="inlineStr">
        <is>
          <t>Not Started</t>
        </is>
      </c>
      <c r="M76" s="8" t="inlineStr"/>
    </row>
    <row r="77">
      <c r="A77" s="8" t="inlineStr">
        <is>
          <t>LR-076</t>
        </is>
      </c>
      <c r="B77" s="8" t="inlineStr">
        <is>
          <t>Drill-down list</t>
        </is>
      </c>
      <c r="C77" s="8" t="inlineStr">
        <is>
          <t>Drill-down</t>
        </is>
      </c>
      <c r="D77" s="8" t="inlineStr">
        <is>
          <t>Switching tab closes the list</t>
        </is>
      </c>
      <c r="E77" s="8" t="inlineStr">
        <is>
          <t>Logged in as CRM Administrator; Lead Reports open (https://qa-crm.asquareab.com/reports/leads)</t>
        </is>
      </c>
      <c r="F77" s="8" t="inlineStr">
        <is>
          <t>1. Open a drill-down
2. Click another tab</t>
        </is>
      </c>
      <c r="G77" s="8" t="inlineStr"/>
      <c r="H77" s="8" t="inlineStr">
        <is>
          <t>The list is closed</t>
        </is>
      </c>
      <c r="I77" s="8" t="inlineStr">
        <is>
          <t>As expected</t>
        </is>
      </c>
      <c r="J77" s="8" t="inlineStr">
        <is>
          <t>UI</t>
        </is>
      </c>
      <c r="K77" s="10" t="inlineStr">
        <is>
          <t>Medium</t>
        </is>
      </c>
      <c r="L77" s="8" t="inlineStr">
        <is>
          <t>Not Started</t>
        </is>
      </c>
      <c r="M77" s="8" t="inlineStr"/>
    </row>
    <row r="78">
      <c r="A78" s="8" t="inlineStr">
        <is>
          <t>LR-077</t>
        </is>
      </c>
      <c r="B78" s="8" t="inlineStr">
        <is>
          <t>Drill-down list</t>
        </is>
      </c>
      <c r="C78" s="8" t="inlineStr">
        <is>
          <t>Drill-down</t>
        </is>
      </c>
      <c r="D78" s="8" t="inlineStr">
        <is>
          <t>Lead number opens the lead</t>
        </is>
      </c>
      <c r="E78" s="8" t="inlineStr">
        <is>
          <t>Logged in as CRM Administrator; Lead Reports open (https://qa-crm.asquareab.com/reports/leads)</t>
        </is>
      </c>
      <c r="F78" s="8" t="inlineStr">
        <is>
          <t>1. Open a drill-down
2. Click a lead number</t>
        </is>
      </c>
      <c r="G78" s="8" t="inlineStr"/>
      <c r="H78" s="8" t="inlineStr">
        <is>
          <t>Leads page opens (/leads?selected=&lt;id&gt;) with the Lead Detail of that lead (number and name match)</t>
        </is>
      </c>
      <c r="I78" s="8" t="inlineStr">
        <is>
          <t>Lead Detail opens with Copy link / Close</t>
        </is>
      </c>
      <c r="J78" s="8" t="inlineStr">
        <is>
          <t>Navigation</t>
        </is>
      </c>
      <c r="K78" s="9" t="inlineStr">
        <is>
          <t>High</t>
        </is>
      </c>
      <c r="L78" s="8" t="inlineStr">
        <is>
          <t>Not Started</t>
        </is>
      </c>
      <c r="M78" s="8" t="inlineStr"/>
    </row>
    <row r="79">
      <c r="A79" s="8" t="inlineStr">
        <is>
          <t>LR-078</t>
        </is>
      </c>
      <c r="B79" s="8" t="inlineStr">
        <is>
          <t>Drill-down list</t>
        </is>
      </c>
      <c r="C79" s="8" t="inlineStr">
        <is>
          <t>Drill-down</t>
        </is>
      </c>
      <c r="D79" s="8" t="inlineStr">
        <is>
          <t>Rows match the bucket</t>
        </is>
      </c>
      <c r="E79" s="8" t="inlineStr">
        <is>
          <t>Logged in as CRM Administrator; Lead Reports open (https://qa-crm.asquareab.com/reports/leads)</t>
        </is>
      </c>
      <c r="F79" s="8" t="inlineStr">
        <is>
          <t>1. Open Contacted, SPA Signed and Never contacted lists</t>
        </is>
      </c>
      <c r="G79" s="8" t="inlineStr"/>
      <c r="H79" s="8" t="inlineStr">
        <is>
          <t>Contacted rows have a First Contact date; SPA Signed rows have a Won Value; Never contacted rows have no First Contact</t>
        </is>
      </c>
      <c r="I79" s="12" t="inlineStr">
        <is>
          <t>Every row fits its bucket in all lists: Lost → Lost/Disqualified; Never contacted → open, no First Contact; Idle &gt; 30 d → open, Idle &gt; 30; SPA → Won Value &gt; 0; Opportunity/Reserved → Converted. 71 rows have status "Contacted" but no First Contact date; they count as contacted through the status change (page definition) and none of them is in "Never contacted" — consistent, see OBS-13</t>
        </is>
      </c>
      <c r="J79" s="8" t="inlineStr">
        <is>
          <t>Functional</t>
        </is>
      </c>
      <c r="K79" s="9" t="inlineStr">
        <is>
          <t>High</t>
        </is>
      </c>
      <c r="L79" s="15" t="inlineStr">
        <is>
          <t>Pass</t>
        </is>
      </c>
      <c r="M79" s="8" t="inlineStr">
        <is>
          <t>Executed 13-Oct-2026 (scripted check, see Drill-down Verification)</t>
        </is>
      </c>
    </row>
    <row r="80">
      <c r="A80" s="8" t="inlineStr">
        <is>
          <t>LR-079</t>
        </is>
      </c>
      <c r="B80" s="8" t="inlineStr">
        <is>
          <t>Drill-down list</t>
        </is>
      </c>
      <c r="C80" s="8" t="inlineStr">
        <is>
          <t>Drill-down</t>
        </is>
      </c>
      <c r="D80" s="8" t="inlineStr">
        <is>
          <t>"as of today" lists ignore the period</t>
        </is>
      </c>
      <c r="E80" s="8" t="inlineStr">
        <is>
          <t>Logged in as CRM Administrator; Lead Reports open (https://qa-crm.asquareab.com/reports/leads)</t>
        </is>
      </c>
      <c r="F80" s="8" t="inlineStr">
        <is>
          <t>1. Open Open Leads Now list
2. Change period to This month
3. Open it again</t>
        </is>
      </c>
      <c r="G80" s="8" t="inlineStr"/>
      <c r="H80" s="8" t="inlineStr">
        <is>
          <t>Same leads and count (364) in both periods</t>
        </is>
      </c>
      <c r="I80" s="8" t="inlineStr">
        <is>
          <t>As expected (value unchanged)</t>
        </is>
      </c>
      <c r="J80" s="8" t="inlineStr">
        <is>
          <t>Functional</t>
        </is>
      </c>
      <c r="K80" s="10" t="inlineStr">
        <is>
          <t>Medium</t>
        </is>
      </c>
      <c r="L80" s="8" t="inlineStr">
        <is>
          <t>Not Started</t>
        </is>
      </c>
      <c r="M80" s="8" t="inlineStr"/>
    </row>
    <row r="81">
      <c r="A81" s="8" t="inlineStr">
        <is>
          <t>LR-080</t>
        </is>
      </c>
      <c r="B81" s="8" t="inlineStr">
        <is>
          <t>Source &amp; Channel</t>
        </is>
      </c>
      <c r="C81" s="8" t="inlineStr">
        <is>
          <t>Sub-tabs</t>
        </is>
      </c>
      <c r="D81" s="8" t="inlineStr">
        <is>
          <t>8 grouping sub-tabs are shown</t>
        </is>
      </c>
      <c r="E81" s="8" t="inlineStr">
        <is>
          <t>Logged in as CRM Administrator; Lead Reports open (https://qa-crm.asquareab.com/reports/leads); Source &amp; Channel tab selected</t>
        </is>
      </c>
      <c r="F81" s="8" t="inlineStr">
        <is>
          <t>1. Open Source &amp; Channel</t>
        </is>
      </c>
      <c r="G81" s="8" t="inlineStr"/>
      <c r="H81" s="8" t="inlineStr">
        <is>
          <t>Lead Source (default), Capture Channel, Campaign, Broker, Salesperson, Project, Nationality, Prospect Type; heading "Performance by Lead Source"</t>
        </is>
      </c>
      <c r="I81" s="8" t="inlineStr">
        <is>
          <t>As expected</t>
        </is>
      </c>
      <c r="J81" s="8" t="inlineStr">
        <is>
          <t>UI</t>
        </is>
      </c>
      <c r="K81" s="9" t="inlineStr">
        <is>
          <t>High</t>
        </is>
      </c>
      <c r="L81" s="8" t="inlineStr">
        <is>
          <t>Not Started</t>
        </is>
      </c>
      <c r="M81" s="8" t="inlineStr"/>
    </row>
    <row r="82">
      <c r="A82" s="8" t="inlineStr">
        <is>
          <t>LR-081</t>
        </is>
      </c>
      <c r="B82" s="8" t="inlineStr">
        <is>
          <t>Source &amp; Channel</t>
        </is>
      </c>
      <c r="C82" s="8" t="inlineStr">
        <is>
          <t>Sub-tabs</t>
        </is>
      </c>
      <c r="D82" s="8" t="inlineStr">
        <is>
          <t>Group by Capture Channel</t>
        </is>
      </c>
      <c r="E82" s="8" t="inlineStr">
        <is>
          <t>Logged in as CRM Administrator; Lead Reports open (https://qa-crm.asquareab.com/reports/leads); Source &amp; Channel tab selected</t>
        </is>
      </c>
      <c r="F82" s="8" t="inlineStr">
        <is>
          <t>1. Click "Capture Channel"</t>
        </is>
      </c>
      <c r="G82" s="8" t="inlineStr"/>
      <c r="H82" s="8" t="inlineStr">
        <is>
          <t>Heading "Performance by Capture Channel"; one row per capture channel plus Total; data reloads (dimension=channel); Total row unchanged</t>
        </is>
      </c>
      <c r="I82" s="8" t="inlineStr">
        <is>
          <t>As expected; Total 613 / 322 / 249 / 121 / 106 / 76 / 128. Drill-down: all 14 "Leads" links in this grouping consistent (clicked = header = rows = export)</t>
        </is>
      </c>
      <c r="J82" s="8" t="inlineStr">
        <is>
          <t>Functional</t>
        </is>
      </c>
      <c r="K82" s="10" t="inlineStr">
        <is>
          <t>Medium</t>
        </is>
      </c>
      <c r="L82" s="15" t="inlineStr">
        <is>
          <t>Pass</t>
        </is>
      </c>
      <c r="M82" s="8" t="inlineStr">
        <is>
          <t>Executed 13-Oct-2026 (scripted check, see Drill-down Verification)</t>
        </is>
      </c>
    </row>
    <row r="83">
      <c r="A83" s="8" t="inlineStr">
        <is>
          <t>LR-082</t>
        </is>
      </c>
      <c r="B83" s="8" t="inlineStr">
        <is>
          <t>Source &amp; Channel</t>
        </is>
      </c>
      <c r="C83" s="8" t="inlineStr">
        <is>
          <t>Sub-tabs</t>
        </is>
      </c>
      <c r="D83" s="8" t="inlineStr">
        <is>
          <t>Group by Campaign</t>
        </is>
      </c>
      <c r="E83" s="8" t="inlineStr">
        <is>
          <t>Logged in as CRM Administrator; Lead Reports open (https://qa-crm.asquareab.com/reports/leads); Source &amp; Channel tab selected</t>
        </is>
      </c>
      <c r="F83" s="8" t="inlineStr">
        <is>
          <t>1. Click "Campaign"</t>
        </is>
      </c>
      <c r="G83" s="8" t="inlineStr"/>
      <c r="H83" s="8" t="inlineStr">
        <is>
          <t>Heading "Performance by Campaign"; one row per campaign plus Total; data reloads (dimension=campaign); Total row unchanged</t>
        </is>
      </c>
      <c r="I83" s="8" t="inlineStr">
        <is>
          <t>As expected; Total 613 / 322 / 249 / 121 / 106 / 76 / 128. Drill-down: all 7 "Leads" links in this grouping consistent (clicked = header = rows = export)</t>
        </is>
      </c>
      <c r="J83" s="8" t="inlineStr">
        <is>
          <t>Functional</t>
        </is>
      </c>
      <c r="K83" s="10" t="inlineStr">
        <is>
          <t>Medium</t>
        </is>
      </c>
      <c r="L83" s="15" t="inlineStr">
        <is>
          <t>Pass</t>
        </is>
      </c>
      <c r="M83" s="8" t="inlineStr">
        <is>
          <t>Executed 13-Oct-2026 (scripted check, see Drill-down Verification)</t>
        </is>
      </c>
    </row>
    <row r="84">
      <c r="A84" s="8" t="inlineStr">
        <is>
          <t>LR-083</t>
        </is>
      </c>
      <c r="B84" s="8" t="inlineStr">
        <is>
          <t>Source &amp; Channel</t>
        </is>
      </c>
      <c r="C84" s="8" t="inlineStr">
        <is>
          <t>Sub-tabs</t>
        </is>
      </c>
      <c r="D84" s="8" t="inlineStr">
        <is>
          <t>Group by Broker</t>
        </is>
      </c>
      <c r="E84" s="8" t="inlineStr">
        <is>
          <t>Logged in as CRM Administrator; Lead Reports open (https://qa-crm.asquareab.com/reports/leads); Source &amp; Channel tab selected</t>
        </is>
      </c>
      <c r="F84" s="8" t="inlineStr">
        <is>
          <t>1. Click "Broker"</t>
        </is>
      </c>
      <c r="G84" s="8" t="inlineStr"/>
      <c r="H84" s="8" t="inlineStr">
        <is>
          <t>Heading "Performance by Broker"; one row per broker plus Total; data reloads (dimension=broker); Total row unchanged</t>
        </is>
      </c>
      <c r="I84" s="8" t="inlineStr">
        <is>
          <t>As expected; Total 613 / 322 / 249 / 121 / 106 / 76 / 128. Drill-down: all 13 "Leads" links in this grouping consistent (clicked = header = rows = export)</t>
        </is>
      </c>
      <c r="J84" s="8" t="inlineStr">
        <is>
          <t>Functional</t>
        </is>
      </c>
      <c r="K84" s="10" t="inlineStr">
        <is>
          <t>Medium</t>
        </is>
      </c>
      <c r="L84" s="15" t="inlineStr">
        <is>
          <t>Pass</t>
        </is>
      </c>
      <c r="M84" s="8" t="inlineStr">
        <is>
          <t>Executed 13-Oct-2026 (scripted check, see Drill-down Verification)</t>
        </is>
      </c>
    </row>
    <row r="85">
      <c r="A85" s="8" t="inlineStr">
        <is>
          <t>LR-084</t>
        </is>
      </c>
      <c r="B85" s="8" t="inlineStr">
        <is>
          <t>Source &amp; Channel</t>
        </is>
      </c>
      <c r="C85" s="8" t="inlineStr">
        <is>
          <t>Sub-tabs</t>
        </is>
      </c>
      <c r="D85" s="8" t="inlineStr">
        <is>
          <t>Group by Salesperson</t>
        </is>
      </c>
      <c r="E85" s="8" t="inlineStr">
        <is>
          <t>Logged in as CRM Administrator; Lead Reports open (https://qa-crm.asquareab.com/reports/leads); Source &amp; Channel tab selected</t>
        </is>
      </c>
      <c r="F85" s="8" t="inlineStr">
        <is>
          <t>1. Click "Salesperson"</t>
        </is>
      </c>
      <c r="G85" s="8" t="inlineStr"/>
      <c r="H85" s="8" t="inlineStr">
        <is>
          <t>Heading "Performance by Salesperson"; one row per salesperson plus Total; data reloads (dimension=owner); Total row unchanged</t>
        </is>
      </c>
      <c r="I85" s="8" t="inlineStr">
        <is>
          <t>As expected; Total 613 / 322 / 249 / 121 / 106 / 76 / 128. Drill-down: all 8 "Leads" links in this grouping consistent (clicked = header = rows = export)</t>
        </is>
      </c>
      <c r="J85" s="8" t="inlineStr">
        <is>
          <t>Functional</t>
        </is>
      </c>
      <c r="K85" s="10" t="inlineStr">
        <is>
          <t>Medium</t>
        </is>
      </c>
      <c r="L85" s="15" t="inlineStr">
        <is>
          <t>Pass</t>
        </is>
      </c>
      <c r="M85" s="8" t="inlineStr">
        <is>
          <t>Executed 13-Oct-2026 (scripted check, see Drill-down Verification)</t>
        </is>
      </c>
    </row>
    <row r="86">
      <c r="A86" s="8" t="inlineStr">
        <is>
          <t>LR-085</t>
        </is>
      </c>
      <c r="B86" s="8" t="inlineStr">
        <is>
          <t>Source &amp; Channel</t>
        </is>
      </c>
      <c r="C86" s="8" t="inlineStr">
        <is>
          <t>Sub-tabs</t>
        </is>
      </c>
      <c r="D86" s="8" t="inlineStr">
        <is>
          <t>Group by Project</t>
        </is>
      </c>
      <c r="E86" s="8" t="inlineStr">
        <is>
          <t>Logged in as CRM Administrator; Lead Reports open (https://qa-crm.asquareab.com/reports/leads); Source &amp; Channel tab selected</t>
        </is>
      </c>
      <c r="F86" s="8" t="inlineStr">
        <is>
          <t>1. Click "Project"</t>
        </is>
      </c>
      <c r="G86" s="8" t="inlineStr"/>
      <c r="H86" s="8" t="inlineStr">
        <is>
          <t>Heading "Performance by Project"; one row per project plus Total; data reloads (dimension=project); Total row unchanged</t>
        </is>
      </c>
      <c r="I86" s="8" t="inlineStr">
        <is>
          <t>As expected; Total 613 / 322 / 249 / 121 / 106 / 76 / 128. Drill-down: all 11 "Leads" links in this grouping consistent (clicked = header = rows = export)</t>
        </is>
      </c>
      <c r="J86" s="8" t="inlineStr">
        <is>
          <t>Functional</t>
        </is>
      </c>
      <c r="K86" s="10" t="inlineStr">
        <is>
          <t>Medium</t>
        </is>
      </c>
      <c r="L86" s="15" t="inlineStr">
        <is>
          <t>Pass</t>
        </is>
      </c>
      <c r="M86" s="8" t="inlineStr">
        <is>
          <t>Executed 13-Oct-2026 (scripted check, see Drill-down Verification)</t>
        </is>
      </c>
    </row>
    <row r="87">
      <c r="A87" s="8" t="inlineStr">
        <is>
          <t>LR-086</t>
        </is>
      </c>
      <c r="B87" s="8" t="inlineStr">
        <is>
          <t>Source &amp; Channel</t>
        </is>
      </c>
      <c r="C87" s="8" t="inlineStr">
        <is>
          <t>Sub-tabs</t>
        </is>
      </c>
      <c r="D87" s="8" t="inlineStr">
        <is>
          <t>Group by Nationality</t>
        </is>
      </c>
      <c r="E87" s="8" t="inlineStr">
        <is>
          <t>Logged in as CRM Administrator; Lead Reports open (https://qa-crm.asquareab.com/reports/leads); Source &amp; Channel tab selected</t>
        </is>
      </c>
      <c r="F87" s="8" t="inlineStr">
        <is>
          <t>1. Click "Nationality"</t>
        </is>
      </c>
      <c r="G87" s="8" t="inlineStr"/>
      <c r="H87" s="8" t="inlineStr">
        <is>
          <t>Heading "Performance by Nationality"; one row per nationality plus Total; data reloads (dimension=nationality); Total row unchanged</t>
        </is>
      </c>
      <c r="I87" s="8" t="inlineStr">
        <is>
          <t>As expected; Total 613 / 322 / 249 / 121 / 106 / 76 / 128. Drill-down: all 14 "Leads" links in this grouping consistent (clicked = header = rows = export)</t>
        </is>
      </c>
      <c r="J87" s="8" t="inlineStr">
        <is>
          <t>Functional</t>
        </is>
      </c>
      <c r="K87" s="10" t="inlineStr">
        <is>
          <t>Medium</t>
        </is>
      </c>
      <c r="L87" s="15" t="inlineStr">
        <is>
          <t>Pass</t>
        </is>
      </c>
      <c r="M87" s="8" t="inlineStr">
        <is>
          <t>Executed 13-Oct-2026 (scripted check, see Drill-down Verification)</t>
        </is>
      </c>
    </row>
    <row r="88">
      <c r="A88" s="8" t="inlineStr">
        <is>
          <t>LR-087</t>
        </is>
      </c>
      <c r="B88" s="8" t="inlineStr">
        <is>
          <t>Source &amp; Channel</t>
        </is>
      </c>
      <c r="C88" s="8" t="inlineStr">
        <is>
          <t>Sub-tabs</t>
        </is>
      </c>
      <c r="D88" s="8" t="inlineStr">
        <is>
          <t>Group by Prospect Type</t>
        </is>
      </c>
      <c r="E88" s="8" t="inlineStr">
        <is>
          <t>Logged in as CRM Administrator; Lead Reports open (https://qa-crm.asquareab.com/reports/leads); Source &amp; Channel tab selected</t>
        </is>
      </c>
      <c r="F88" s="8" t="inlineStr">
        <is>
          <t>1. Click "Prospect Type"</t>
        </is>
      </c>
      <c r="G88" s="8" t="inlineStr"/>
      <c r="H88" s="8" t="inlineStr">
        <is>
          <t>Heading "Performance by Prospect Type"; one row per prospect type plus Total; data reloads (dimension=prospectType); Total row unchanged</t>
        </is>
      </c>
      <c r="I88" s="8" t="inlineStr">
        <is>
          <t>As expected; Total 613 / 322 / 249 / 121 / 106 / 76 / 128. Drill-down: all 3 "Leads" links in this grouping consistent (clicked = header = rows = export)</t>
        </is>
      </c>
      <c r="J88" s="8" t="inlineStr">
        <is>
          <t>Functional</t>
        </is>
      </c>
      <c r="K88" s="10" t="inlineStr">
        <is>
          <t>Medium</t>
        </is>
      </c>
      <c r="L88" s="15" t="inlineStr">
        <is>
          <t>Pass</t>
        </is>
      </c>
      <c r="M88" s="8" t="inlineStr">
        <is>
          <t>Executed 13-Oct-2026 (scripted check, see Drill-down Verification)</t>
        </is>
      </c>
    </row>
    <row r="89">
      <c r="A89" s="8" t="inlineStr">
        <is>
          <t>LR-088</t>
        </is>
      </c>
      <c r="B89" s="8" t="inlineStr">
        <is>
          <t>Source &amp; Channel</t>
        </is>
      </c>
      <c r="C89" s="8" t="inlineStr">
        <is>
          <t>Table</t>
        </is>
      </c>
      <c r="D89" s="8" t="inlineStr">
        <is>
          <t>Columns and Total row</t>
        </is>
      </c>
      <c r="E89" s="8" t="inlineStr">
        <is>
          <t>Logged in as CRM Administrator; Lead Reports open (https://qa-crm.asquareab.com/reports/leads); Source &amp; Channel tab selected</t>
        </is>
      </c>
      <c r="F89" s="8" t="inlineStr">
        <is>
          <t>1. Read the table</t>
        </is>
      </c>
      <c r="G89" s="8" t="inlineStr"/>
      <c r="H89" s="8" t="inlineStr">
        <is>
          <t>Columns: name, Leads, Contacted, Qualified, Opportunity, Reserved, SPA Signed, Lost, Contact %, Qual. %, Conv. %, Win %, Avg First Contact, Won Value, Cost / Lead; Total row equals the Overview KPIs</t>
        </is>
      </c>
      <c r="I89" s="8" t="inlineStr">
        <is>
          <t>Total 613, 322, 249, 121, 106, 76, 128, 52.5%, 40.6%, 19.7%, 12.4%, —, 148.48M USD</t>
        </is>
      </c>
      <c r="J89" s="8" t="inlineStr">
        <is>
          <t>Functional</t>
        </is>
      </c>
      <c r="K89" s="9" t="inlineStr">
        <is>
          <t>High</t>
        </is>
      </c>
      <c r="L89" s="8" t="inlineStr">
        <is>
          <t>Not Started</t>
        </is>
      </c>
      <c r="M89" s="8" t="inlineStr"/>
    </row>
    <row r="90">
      <c r="A90" s="8" t="inlineStr">
        <is>
          <t>LR-089</t>
        </is>
      </c>
      <c r="B90" s="8" t="inlineStr">
        <is>
          <t>Source &amp; Channel</t>
        </is>
      </c>
      <c r="C90" s="8" t="inlineStr">
        <is>
          <t>Table</t>
        </is>
      </c>
      <c r="D90" s="8" t="inlineStr">
        <is>
          <t>Rows add up to the Total row</t>
        </is>
      </c>
      <c r="E90" s="8" t="inlineStr">
        <is>
          <t>Logged in as CRM Administrator; Lead Reports open (https://qa-crm.asquareab.com/reports/leads); Source &amp; Channel tab selected</t>
        </is>
      </c>
      <c r="F90" s="8" t="inlineStr">
        <is>
          <t>1. Add each count column</t>
        </is>
      </c>
      <c r="G90" s="8" t="inlineStr"/>
      <c r="H90" s="8" t="inlineStr">
        <is>
          <t>Leads, Contacted, Qualified, Opportunity, Reserved, SPA Signed, Lost and Won Value add up to the Total row (in every sub-tab)</t>
        </is>
      </c>
      <c r="I90" s="8" t="inlineStr">
        <is>
          <t>To verify</t>
        </is>
      </c>
      <c r="J90" s="8" t="inlineStr">
        <is>
          <t>Functional</t>
        </is>
      </c>
      <c r="K90" s="9" t="inlineStr">
        <is>
          <t>High</t>
        </is>
      </c>
      <c r="L90" s="8" t="inlineStr">
        <is>
          <t>Not Started</t>
        </is>
      </c>
      <c r="M90" s="8" t="inlineStr"/>
    </row>
    <row r="91">
      <c r="A91" s="8" t="inlineStr">
        <is>
          <t>LR-090</t>
        </is>
      </c>
      <c r="B91" s="8" t="inlineStr">
        <is>
          <t>Source &amp; Channel</t>
        </is>
      </c>
      <c r="C91" s="8" t="inlineStr">
        <is>
          <t>Table</t>
        </is>
      </c>
      <c r="D91" s="8" t="inlineStr">
        <is>
          <t>Row percentages are correct</t>
        </is>
      </c>
      <c r="E91" s="8" t="inlineStr">
        <is>
          <t>Logged in as CRM Administrator; Lead Reports open (https://qa-crm.asquareab.com/reports/leads); Source &amp; Channel tab selected</t>
        </is>
      </c>
      <c r="F91" s="8" t="inlineStr">
        <is>
          <t>1. For a row, compute Contacted ÷ Leads etc.</t>
        </is>
      </c>
      <c r="G91" s="8" t="inlineStr"/>
      <c r="H91" s="8" t="inlineStr">
        <is>
          <t>Contact % = Contacted ÷ Leads; Qual. % = Qualified ÷ Leads; Conv. % = Opportunity ÷ Leads; Win % = SPA Signed ÷ Leads</t>
        </is>
      </c>
      <c r="I91" s="8" t="inlineStr">
        <is>
          <t>Digital Marketing: 14/18 = 77.8%, 13/18 = 72.2%, 11/18 = 61.1%, 5/18 = 27.8%</t>
        </is>
      </c>
      <c r="J91" s="8" t="inlineStr">
        <is>
          <t>Functional</t>
        </is>
      </c>
      <c r="K91" s="9" t="inlineStr">
        <is>
          <t>High</t>
        </is>
      </c>
      <c r="L91" s="8" t="inlineStr">
        <is>
          <t>Not Started</t>
        </is>
      </c>
      <c r="M91" s="8" t="inlineStr"/>
    </row>
    <row r="92">
      <c r="A92" s="8" t="inlineStr">
        <is>
          <t>LR-091</t>
        </is>
      </c>
      <c r="B92" s="8" t="inlineStr">
        <is>
          <t>Source &amp; Channel</t>
        </is>
      </c>
      <c r="C92" s="8" t="inlineStr">
        <is>
          <t>Table</t>
        </is>
      </c>
      <c r="D92" s="8" t="inlineStr">
        <is>
          <t>Leads without a value are grouped as "Unspecified"</t>
        </is>
      </c>
      <c r="E92" s="8" t="inlineStr">
        <is>
          <t>Logged in as CRM Administrator; Lead Reports open (https://qa-crm.asquareab.com/reports/leads); Source &amp; Channel tab selected</t>
        </is>
      </c>
      <c r="F92" s="8" t="inlineStr">
        <is>
          <t>1. Lead Source sub-tab</t>
        </is>
      </c>
      <c r="G92" s="8" t="inlineStr"/>
      <c r="H92" s="8" t="inlineStr">
        <is>
          <t>An "Unspecified" row holds leads with no lead source</t>
        </is>
      </c>
      <c r="I92" s="12" t="inlineStr">
        <is>
          <t>Unspecified 572 leads (OBS-10)</t>
        </is>
      </c>
      <c r="J92" s="8" t="inlineStr">
        <is>
          <t>Functional</t>
        </is>
      </c>
      <c r="K92" s="10" t="inlineStr">
        <is>
          <t>Medium</t>
        </is>
      </c>
      <c r="L92" s="8" t="inlineStr">
        <is>
          <t>Not Started</t>
        </is>
      </c>
      <c r="M92" s="8" t="inlineStr"/>
    </row>
    <row r="93">
      <c r="A93" s="8" t="inlineStr">
        <is>
          <t>LR-092</t>
        </is>
      </c>
      <c r="B93" s="8" t="inlineStr">
        <is>
          <t>Source &amp; Channel</t>
        </is>
      </c>
      <c r="C93" s="8" t="inlineStr">
        <is>
          <t>Count links</t>
        </is>
      </c>
      <c r="D93" s="8" t="inlineStr">
        <is>
          <t>"Leads" count opens its leads</t>
        </is>
      </c>
      <c r="E93" s="8" t="inlineStr">
        <is>
          <t>Logged in as CRM Administrator; Lead Reports open (https://qa-crm.asquareab.com/reports/leads); Source &amp; Channel tab selected</t>
        </is>
      </c>
      <c r="F93" s="8" t="inlineStr">
        <is>
          <t>1. Click the Leads count of the Digital Marketing row</t>
        </is>
      </c>
      <c r="G93" s="8" t="inlineStr"/>
      <c r="H93" s="8" t="inlineStr">
        <is>
          <t>Drill-down "Leads · Lead Source: Digital Marketing" with the same number of leads (bucket=captured)</t>
        </is>
      </c>
      <c r="I93" s="8" t="inlineStr">
        <is>
          <t>Digital Marketing: Clicked 18 = header 18 = 18 rows; export 18 rows; no duplicates (verification #19). All 9 "Leads" links in the Lead Source table consistent; every row belongs to its lead source</t>
        </is>
      </c>
      <c r="J93" s="8" t="inlineStr">
        <is>
          <t>Functional</t>
        </is>
      </c>
      <c r="K93" s="9" t="inlineStr">
        <is>
          <t>High</t>
        </is>
      </c>
      <c r="L93" s="15" t="inlineStr">
        <is>
          <t>Pass</t>
        </is>
      </c>
      <c r="M93" s="8" t="inlineStr">
        <is>
          <t>Executed 13-Oct-2026 (scripted check, see Drill-down Verification)</t>
        </is>
      </c>
    </row>
    <row r="94">
      <c r="A94" s="8" t="inlineStr">
        <is>
          <t>LR-093</t>
        </is>
      </c>
      <c r="B94" s="8" t="inlineStr">
        <is>
          <t>Source &amp; Channel</t>
        </is>
      </c>
      <c r="C94" s="8" t="inlineStr">
        <is>
          <t>Count links</t>
        </is>
      </c>
      <c r="D94" s="8" t="inlineStr">
        <is>
          <t>"Contacted" count opens its leads</t>
        </is>
      </c>
      <c r="E94" s="8" t="inlineStr">
        <is>
          <t>Logged in as CRM Administrator; Lead Reports open (https://qa-crm.asquareab.com/reports/leads); Source &amp; Channel tab selected</t>
        </is>
      </c>
      <c r="F94" s="8" t="inlineStr">
        <is>
          <t>1. Click the Contacted count of the Digital Marketing row</t>
        </is>
      </c>
      <c r="G94" s="8" t="inlineStr"/>
      <c r="H94" s="8" t="inlineStr">
        <is>
          <t>Drill-down "Contacted · Lead Source: Digital Marketing" with the same number of leads (bucket=contacted)</t>
        </is>
      </c>
      <c r="I94" s="8" t="inlineStr">
        <is>
          <t>Digital Marketing: Clicked 14 = header 14 = 14 rows; export 14 rows; no duplicates (verification #20). All 9 "Contacted" links in the Lead Source table consistent; every row belongs to its lead source</t>
        </is>
      </c>
      <c r="J94" s="8" t="inlineStr">
        <is>
          <t>Functional</t>
        </is>
      </c>
      <c r="K94" s="10" t="inlineStr">
        <is>
          <t>Medium</t>
        </is>
      </c>
      <c r="L94" s="15" t="inlineStr">
        <is>
          <t>Pass</t>
        </is>
      </c>
      <c r="M94" s="8" t="inlineStr">
        <is>
          <t>Executed 13-Oct-2026 (scripted check, see Drill-down Verification)</t>
        </is>
      </c>
    </row>
    <row r="95">
      <c r="A95" s="8" t="inlineStr">
        <is>
          <t>LR-094</t>
        </is>
      </c>
      <c r="B95" s="8" t="inlineStr">
        <is>
          <t>Source &amp; Channel</t>
        </is>
      </c>
      <c r="C95" s="8" t="inlineStr">
        <is>
          <t>Count links</t>
        </is>
      </c>
      <c r="D95" s="8" t="inlineStr">
        <is>
          <t>"Qualified" count opens its leads</t>
        </is>
      </c>
      <c r="E95" s="8" t="inlineStr">
        <is>
          <t>Logged in as CRM Administrator; Lead Reports open (https://qa-crm.asquareab.com/reports/leads); Source &amp; Channel tab selected</t>
        </is>
      </c>
      <c r="F95" s="8" t="inlineStr">
        <is>
          <t>1. Click the Qualified count of the Digital Marketing row</t>
        </is>
      </c>
      <c r="G95" s="8" t="inlineStr"/>
      <c r="H95" s="8" t="inlineStr">
        <is>
          <t>Drill-down "Qualified · Lead Source: Digital Marketing" with the same number of leads (bucket=qualified)</t>
        </is>
      </c>
      <c r="I95" s="8" t="inlineStr">
        <is>
          <t>Digital Marketing: Clicked 13 = header 13 = 13 rows; export 13 rows; no duplicates (verification #21). All 9 "Qualified" links in the Lead Source table consistent; every row belongs to its lead source</t>
        </is>
      </c>
      <c r="J95" s="8" t="inlineStr">
        <is>
          <t>Functional</t>
        </is>
      </c>
      <c r="K95" s="10" t="inlineStr">
        <is>
          <t>Medium</t>
        </is>
      </c>
      <c r="L95" s="15" t="inlineStr">
        <is>
          <t>Pass</t>
        </is>
      </c>
      <c r="M95" s="8" t="inlineStr">
        <is>
          <t>Executed 13-Oct-2026 (scripted check, see Drill-down Verification)</t>
        </is>
      </c>
    </row>
    <row r="96">
      <c r="A96" s="8" t="inlineStr">
        <is>
          <t>LR-095</t>
        </is>
      </c>
      <c r="B96" s="8" t="inlineStr">
        <is>
          <t>Source &amp; Channel</t>
        </is>
      </c>
      <c r="C96" s="8" t="inlineStr">
        <is>
          <t>Count links</t>
        </is>
      </c>
      <c r="D96" s="8" t="inlineStr">
        <is>
          <t>"Opportunity" count opens its leads</t>
        </is>
      </c>
      <c r="E96" s="8" t="inlineStr">
        <is>
          <t>Logged in as CRM Administrator; Lead Reports open (https://qa-crm.asquareab.com/reports/leads); Source &amp; Channel tab selected</t>
        </is>
      </c>
      <c r="F96" s="8" t="inlineStr">
        <is>
          <t>1. Click the Opportunity count of the Digital Marketing row</t>
        </is>
      </c>
      <c r="G96" s="8" t="inlineStr"/>
      <c r="H96" s="8" t="inlineStr">
        <is>
          <t>Drill-down "Opportunity · Lead Source: Digital Marketing" with the same number of leads (bucket=converted)</t>
        </is>
      </c>
      <c r="I96" s="8" t="inlineStr">
        <is>
          <t>Digital Marketing: Clicked 11 = header 11 = 11 rows; export 11 rows; no duplicates (verification #22). All 9 "Opportunity" links in the Lead Source table consistent; every row belongs to its lead source</t>
        </is>
      </c>
      <c r="J96" s="8" t="inlineStr">
        <is>
          <t>Functional</t>
        </is>
      </c>
      <c r="K96" s="10" t="inlineStr">
        <is>
          <t>Medium</t>
        </is>
      </c>
      <c r="L96" s="15" t="inlineStr">
        <is>
          <t>Pass</t>
        </is>
      </c>
      <c r="M96" s="8" t="inlineStr">
        <is>
          <t>Executed 13-Oct-2026 (scripted check, see Drill-down Verification)</t>
        </is>
      </c>
    </row>
    <row r="97">
      <c r="A97" s="8" t="inlineStr">
        <is>
          <t>LR-096</t>
        </is>
      </c>
      <c r="B97" s="8" t="inlineStr">
        <is>
          <t>Source &amp; Channel</t>
        </is>
      </c>
      <c r="C97" s="8" t="inlineStr">
        <is>
          <t>Count links</t>
        </is>
      </c>
      <c r="D97" s="8" t="inlineStr">
        <is>
          <t>"Reserved" count opens its leads</t>
        </is>
      </c>
      <c r="E97" s="8" t="inlineStr">
        <is>
          <t>Logged in as CRM Administrator; Lead Reports open (https://qa-crm.asquareab.com/reports/leads); Source &amp; Channel tab selected</t>
        </is>
      </c>
      <c r="F97" s="8" t="inlineStr">
        <is>
          <t>1. Click the Reserved count of the Digital Marketing row</t>
        </is>
      </c>
      <c r="G97" s="8" t="inlineStr"/>
      <c r="H97" s="8" t="inlineStr">
        <is>
          <t>Drill-down "Reserved · Lead Source: Digital Marketing" with the same number of leads (bucket=reserved)</t>
        </is>
      </c>
      <c r="I97" s="8" t="inlineStr">
        <is>
          <t>Digital Marketing: Clicked 7 = header 7 = 7 rows; export 7 rows; no duplicates (verification #23). All 8 "Reserved" links in the Lead Source table consistent; every row belongs to its lead source</t>
        </is>
      </c>
      <c r="J97" s="8" t="inlineStr">
        <is>
          <t>Functional</t>
        </is>
      </c>
      <c r="K97" s="10" t="inlineStr">
        <is>
          <t>Medium</t>
        </is>
      </c>
      <c r="L97" s="15" t="inlineStr">
        <is>
          <t>Pass</t>
        </is>
      </c>
      <c r="M97" s="8" t="inlineStr">
        <is>
          <t>Executed 13-Oct-2026 (scripted check, see Drill-down Verification)</t>
        </is>
      </c>
    </row>
    <row r="98">
      <c r="A98" s="8" t="inlineStr">
        <is>
          <t>LR-097</t>
        </is>
      </c>
      <c r="B98" s="8" t="inlineStr">
        <is>
          <t>Source &amp; Channel</t>
        </is>
      </c>
      <c r="C98" s="8" t="inlineStr">
        <is>
          <t>Count links</t>
        </is>
      </c>
      <c r="D98" s="8" t="inlineStr">
        <is>
          <t>"SPA Signed" count opens its leads</t>
        </is>
      </c>
      <c r="E98" s="8" t="inlineStr">
        <is>
          <t>Logged in as CRM Administrator; Lead Reports open (https://qa-crm.asquareab.com/reports/leads); Source &amp; Channel tab selected</t>
        </is>
      </c>
      <c r="F98" s="8" t="inlineStr">
        <is>
          <t>1. Click the SPA Signed count of the Digital Marketing row</t>
        </is>
      </c>
      <c r="G98" s="8" t="inlineStr"/>
      <c r="H98" s="8" t="inlineStr">
        <is>
          <t>Drill-down "SPA Signed · Lead Source: Digital Marketing" with the same number of leads (bucket=won)</t>
        </is>
      </c>
      <c r="I98" s="8" t="inlineStr">
        <is>
          <t>Digital Marketing: Clicked 5 = header 5 = 5 rows; export 5 rows; no duplicates (verification #24). All 5 "SPA Signed" links in the Lead Source table consistent; every row belongs to its lead source</t>
        </is>
      </c>
      <c r="J98" s="8" t="inlineStr">
        <is>
          <t>Functional</t>
        </is>
      </c>
      <c r="K98" s="10" t="inlineStr">
        <is>
          <t>Medium</t>
        </is>
      </c>
      <c r="L98" s="15" t="inlineStr">
        <is>
          <t>Pass</t>
        </is>
      </c>
      <c r="M98" s="8" t="inlineStr">
        <is>
          <t>Executed 13-Oct-2026 (scripted check, see Drill-down Verification)</t>
        </is>
      </c>
    </row>
    <row r="99">
      <c r="A99" s="8" t="inlineStr">
        <is>
          <t>LR-098</t>
        </is>
      </c>
      <c r="B99" s="8" t="inlineStr">
        <is>
          <t>Source &amp; Channel</t>
        </is>
      </c>
      <c r="C99" s="8" t="inlineStr">
        <is>
          <t>Count links</t>
        </is>
      </c>
      <c r="D99" s="8" t="inlineStr">
        <is>
          <t>"Lost" count opens the lost leads of that row</t>
        </is>
      </c>
      <c r="E99" s="8" t="inlineStr">
        <is>
          <t>Logged in as CRM Administrator; Lead Reports open (https://qa-crm.asquareab.com/reports/leads); Source &amp; Channel tab selected</t>
        </is>
      </c>
      <c r="F99" s="8" t="inlineStr">
        <is>
          <t>1. Click the Lost count of a row</t>
        </is>
      </c>
      <c r="G99" s="8" t="inlineStr"/>
      <c r="H99" s="8" t="inlineStr">
        <is>
          <t>Drill-down with the lost/disqualified leads of that row</t>
        </is>
      </c>
      <c r="I99" s="8" t="inlineStr">
        <is>
          <t>Clickable when the count is above 0 (zero counts are plain text). Unspecified › Lost: Clicked 128 = header 128 = 128 rows; export 128 rows; no duplicates (verification #18); every row Lost/Disqualified. 1 Lost link(s) checked</t>
        </is>
      </c>
      <c r="J99" s="8" t="inlineStr">
        <is>
          <t>Functional</t>
        </is>
      </c>
      <c r="K99" s="11" t="inlineStr">
        <is>
          <t>Low</t>
        </is>
      </c>
      <c r="L99" s="15" t="inlineStr">
        <is>
          <t>Pass</t>
        </is>
      </c>
      <c r="M99" s="8" t="inlineStr">
        <is>
          <t>Executed 13-Oct-2026. Corrects the first exploration, which only tried a row with Lost = 0 (OBS-04 updated)</t>
        </is>
      </c>
    </row>
    <row r="100">
      <c r="A100" s="8" t="inlineStr">
        <is>
          <t>LR-099</t>
        </is>
      </c>
      <c r="B100" s="8" t="inlineStr">
        <is>
          <t>Source &amp; Channel</t>
        </is>
      </c>
      <c r="C100" s="8" t="inlineStr">
        <is>
          <t>Table</t>
        </is>
      </c>
      <c r="D100" s="8" t="inlineStr">
        <is>
          <t>Values without data show "—"</t>
        </is>
      </c>
      <c r="E100" s="8" t="inlineStr">
        <is>
          <t>Logged in as CRM Administrator; Lead Reports open (https://qa-crm.asquareab.com/reports/leads); Source &amp; Channel tab selected</t>
        </is>
      </c>
      <c r="F100" s="8" t="inlineStr">
        <is>
          <t>1. Look at Avg First Contact and Cost / Lead for rows without data</t>
        </is>
      </c>
      <c r="G100" s="8" t="inlineStr"/>
      <c r="H100" s="8" t="inlineStr">
        <is>
          <t>"—" is shown, not 0, NaN or blank</t>
        </is>
      </c>
      <c r="I100" s="8" t="inlineStr">
        <is>
          <t>As expected</t>
        </is>
      </c>
      <c r="J100" s="8" t="inlineStr">
        <is>
          <t>UI</t>
        </is>
      </c>
      <c r="K100" s="11" t="inlineStr">
        <is>
          <t>Low</t>
        </is>
      </c>
      <c r="L100" s="8" t="inlineStr">
        <is>
          <t>Not Started</t>
        </is>
      </c>
      <c r="M100" s="8" t="inlineStr"/>
    </row>
    <row r="101">
      <c r="A101" s="8" t="inlineStr">
        <is>
          <t>LR-100</t>
        </is>
      </c>
      <c r="B101" s="8" t="inlineStr">
        <is>
          <t>Source &amp; Channel</t>
        </is>
      </c>
      <c r="C101" s="8" t="inlineStr">
        <is>
          <t>Export</t>
        </is>
      </c>
      <c r="D101" s="8" t="inlineStr">
        <is>
          <t>Export downloads the current grouping</t>
        </is>
      </c>
      <c r="E101" s="8" t="inlineStr">
        <is>
          <t>Logged in as CRM Administrator; Lead Reports open (https://qa-crm.asquareab.com/reports/leads); Source &amp; Channel tab selected</t>
        </is>
      </c>
      <c r="F101" s="8" t="inlineStr">
        <is>
          <t>1. Lead Source sub-tab
2. Click Export</t>
        </is>
      </c>
      <c r="G101" s="8" t="inlineStr"/>
      <c r="H101" s="8" t="inlineStr">
        <is>
          <t>lead-report-breakdown-&lt;date&gt;.xlsx, sheet "By Lead Source", one row per table row with the same figures</t>
        </is>
      </c>
      <c r="I101" s="12" t="inlineStr">
        <is>
          <t>9 rows; headers differ from screen and no Total row (OBS-08)</t>
        </is>
      </c>
      <c r="J101" s="8" t="inlineStr">
        <is>
          <t>Functional</t>
        </is>
      </c>
      <c r="K101" s="9" t="inlineStr">
        <is>
          <t>High</t>
        </is>
      </c>
      <c r="L101" s="8" t="inlineStr">
        <is>
          <t>Not Started</t>
        </is>
      </c>
      <c r="M101" s="8" t="inlineStr"/>
    </row>
    <row r="102">
      <c r="A102" s="8" t="inlineStr">
        <is>
          <t>LR-101</t>
        </is>
      </c>
      <c r="B102" s="8" t="inlineStr">
        <is>
          <t>Source &amp; Channel</t>
        </is>
      </c>
      <c r="C102" s="8" t="inlineStr">
        <is>
          <t>Export</t>
        </is>
      </c>
      <c r="D102" s="8" t="inlineStr">
        <is>
          <t>Export follows the selected sub-tab</t>
        </is>
      </c>
      <c r="E102" s="8" t="inlineStr">
        <is>
          <t>Logged in as CRM Administrator; Lead Reports open (https://qa-crm.asquareab.com/reports/leads); Source &amp; Channel tab selected</t>
        </is>
      </c>
      <c r="F102" s="8" t="inlineStr">
        <is>
          <t>1. Click Capture Channel
2. Click Export</t>
        </is>
      </c>
      <c r="G102" s="8" t="inlineStr"/>
      <c r="H102" s="8" t="inlineStr">
        <is>
          <t>Sheet "By Capture Channel" with the channel rows</t>
        </is>
      </c>
      <c r="I102" s="8" t="inlineStr">
        <is>
          <t>To verify</t>
        </is>
      </c>
      <c r="J102" s="8" t="inlineStr">
        <is>
          <t>Functional</t>
        </is>
      </c>
      <c r="K102" s="10" t="inlineStr">
        <is>
          <t>Medium</t>
        </is>
      </c>
      <c r="L102" s="8" t="inlineStr">
        <is>
          <t>Not Started</t>
        </is>
      </c>
      <c r="M102" s="8" t="inlineStr"/>
    </row>
    <row r="103">
      <c r="A103" s="8" t="inlineStr">
        <is>
          <t>LR-102</t>
        </is>
      </c>
      <c r="B103" s="8" t="inlineStr">
        <is>
          <t>Source &amp; Channel</t>
        </is>
      </c>
      <c r="C103" s="8" t="inlineStr">
        <is>
          <t>Table</t>
        </is>
      </c>
      <c r="D103" s="8" t="inlineStr">
        <is>
          <t>Column headers do not sort</t>
        </is>
      </c>
      <c r="E103" s="8" t="inlineStr">
        <is>
          <t>Logged in as CRM Administrator; Lead Reports open (https://qa-crm.asquareab.com/reports/leads); Source &amp; Channel tab selected</t>
        </is>
      </c>
      <c r="F103" s="8" t="inlineStr">
        <is>
          <t>1. Click the "Leads" header</t>
        </is>
      </c>
      <c r="G103" s="8" t="inlineStr"/>
      <c r="H103" s="8" t="inlineStr">
        <is>
          <t>Agreed behaviour: rows stay in their order (headers are not sortable)</t>
        </is>
      </c>
      <c r="I103" s="12" t="inlineStr">
        <is>
          <t>No sorting (OBS-12)</t>
        </is>
      </c>
      <c r="J103" s="8" t="inlineStr">
        <is>
          <t>UI</t>
        </is>
      </c>
      <c r="K103" s="11" t="inlineStr">
        <is>
          <t>Low</t>
        </is>
      </c>
      <c r="L103" s="8" t="inlineStr">
        <is>
          <t>Not Started</t>
        </is>
      </c>
      <c r="M103" s="8" t="inlineStr"/>
    </row>
    <row r="104">
      <c r="A104" s="8" t="inlineStr">
        <is>
          <t>LR-103</t>
        </is>
      </c>
      <c r="B104" s="8" t="inlineStr">
        <is>
          <t>Aging &amp; Follow-up</t>
        </is>
      </c>
      <c r="C104" s="8" t="inlineStr">
        <is>
          <t>KPI cards</t>
        </is>
      </c>
      <c r="D104" s="8" t="inlineStr">
        <is>
          <t>4 aging KPI cards</t>
        </is>
      </c>
      <c r="E104" s="8" t="inlineStr">
        <is>
          <t>Logged in as CRM Administrator; Lead Reports open (https://qa-crm.asquareab.com/reports/leads); Aging &amp; Follow-up tab selected</t>
        </is>
      </c>
      <c r="F104" s="8" t="inlineStr">
        <is>
          <t>1. Open Aging &amp; Follow-up</t>
        </is>
      </c>
      <c r="G104" s="8" t="inlineStr"/>
      <c r="H104" s="8" t="inlineStr">
        <is>
          <t>Open Leads, Idle Over 30 Days, Never Contacted, Overdue Follow-ups; first three equal the Overview "Open Leads Now" figures</t>
        </is>
      </c>
      <c r="I104" s="8" t="inlineStr">
        <is>
          <t>364, 342, 163, 0</t>
        </is>
      </c>
      <c r="J104" s="8" t="inlineStr">
        <is>
          <t>Functional</t>
        </is>
      </c>
      <c r="K104" s="9" t="inlineStr">
        <is>
          <t>High</t>
        </is>
      </c>
      <c r="L104" s="8" t="inlineStr">
        <is>
          <t>Not Started</t>
        </is>
      </c>
      <c r="M104" s="8" t="inlineStr"/>
    </row>
    <row r="105">
      <c r="A105" s="8" t="inlineStr">
        <is>
          <t>LR-104</t>
        </is>
      </c>
      <c r="B105" s="8" t="inlineStr">
        <is>
          <t>Aging &amp; Follow-up</t>
        </is>
      </c>
      <c r="C105" s="8" t="inlineStr">
        <is>
          <t>KPI cards</t>
        </is>
      </c>
      <c r="D105" s="8" t="inlineStr">
        <is>
          <t>"Open Leads" count opens its leads</t>
        </is>
      </c>
      <c r="E105" s="8" t="inlineStr">
        <is>
          <t>Logged in as CRM Administrator; Lead Reports open (https://qa-crm.asquareab.com/reports/leads); Aging &amp; Follow-up tab selected</t>
        </is>
      </c>
      <c r="F105" s="8" t="inlineStr">
        <is>
          <t>1. Click the Open Leads value</t>
        </is>
      </c>
      <c r="G105" s="8" t="inlineStr"/>
      <c r="H105" s="8" t="inlineStr">
        <is>
          <t>Drill-down with 364 leads, marked "as of today" (bucket=openNow)</t>
        </is>
      </c>
      <c r="I105" s="8" t="inlineStr">
        <is>
          <t>Clicked 364 = header 364 = 364 rows; export 364 rows; no duplicates (verification #132); marked "as of today"</t>
        </is>
      </c>
      <c r="J105" s="8" t="inlineStr">
        <is>
          <t>Functional</t>
        </is>
      </c>
      <c r="K105" s="9" t="inlineStr">
        <is>
          <t>High</t>
        </is>
      </c>
      <c r="L105" s="15" t="inlineStr">
        <is>
          <t>Pass</t>
        </is>
      </c>
      <c r="M105" s="8" t="inlineStr">
        <is>
          <t>Executed 13-Oct-2026 (scripted check, see Drill-down Verification)</t>
        </is>
      </c>
    </row>
    <row r="106">
      <c r="A106" s="8" t="inlineStr">
        <is>
          <t>LR-105</t>
        </is>
      </c>
      <c r="B106" s="8" t="inlineStr">
        <is>
          <t>Aging &amp; Follow-up</t>
        </is>
      </c>
      <c r="C106" s="8" t="inlineStr">
        <is>
          <t>KPI cards</t>
        </is>
      </c>
      <c r="D106" s="8" t="inlineStr">
        <is>
          <t>"Idle Over 30 Days" count opens its leads</t>
        </is>
      </c>
      <c r="E106" s="8" t="inlineStr">
        <is>
          <t>Logged in as CRM Administrator; Lead Reports open (https://qa-crm.asquareab.com/reports/leads); Aging &amp; Follow-up tab selected</t>
        </is>
      </c>
      <c r="F106" s="8" t="inlineStr">
        <is>
          <t>1. Click the Idle Over 30 Days value</t>
        </is>
      </c>
      <c r="G106" s="8" t="inlineStr"/>
      <c r="H106" s="8" t="inlineStr">
        <is>
          <t>Drill-down with 342 leads, marked "as of today" (bucket=idleNow)</t>
        </is>
      </c>
      <c r="I106" s="8" t="inlineStr">
        <is>
          <t>Clicked 342 = header 342 = 342 rows; export 342 rows; no duplicates (verification #133); marked "as of today"</t>
        </is>
      </c>
      <c r="J106" s="8" t="inlineStr">
        <is>
          <t>Functional</t>
        </is>
      </c>
      <c r="K106" s="9" t="inlineStr">
        <is>
          <t>High</t>
        </is>
      </c>
      <c r="L106" s="15" t="inlineStr">
        <is>
          <t>Pass</t>
        </is>
      </c>
      <c r="M106" s="8" t="inlineStr">
        <is>
          <t>Executed 13-Oct-2026 (scripted check, see Drill-down Verification)</t>
        </is>
      </c>
    </row>
    <row r="107">
      <c r="A107" s="8" t="inlineStr">
        <is>
          <t>LR-106</t>
        </is>
      </c>
      <c r="B107" s="8" t="inlineStr">
        <is>
          <t>Aging &amp; Follow-up</t>
        </is>
      </c>
      <c r="C107" s="8" t="inlineStr">
        <is>
          <t>KPI cards</t>
        </is>
      </c>
      <c r="D107" s="8" t="inlineStr">
        <is>
          <t>"Never Contacted" count opens its leads</t>
        </is>
      </c>
      <c r="E107" s="8" t="inlineStr">
        <is>
          <t>Logged in as CRM Administrator; Lead Reports open (https://qa-crm.asquareab.com/reports/leads); Aging &amp; Follow-up tab selected</t>
        </is>
      </c>
      <c r="F107" s="8" t="inlineStr">
        <is>
          <t>1. Click the Never Contacted value</t>
        </is>
      </c>
      <c r="G107" s="8" t="inlineStr"/>
      <c r="H107" s="8" t="inlineStr">
        <is>
          <t>Drill-down with 163 leads, marked "as of today" (bucket=neverContactedNow)</t>
        </is>
      </c>
      <c r="I107" s="8" t="inlineStr">
        <is>
          <t>Clicked 163 = header 163 = 163 rows; export 163 rows; no duplicates (verification #134); marked "as of today"</t>
        </is>
      </c>
      <c r="J107" s="8" t="inlineStr">
        <is>
          <t>Functional</t>
        </is>
      </c>
      <c r="K107" s="9" t="inlineStr">
        <is>
          <t>High</t>
        </is>
      </c>
      <c r="L107" s="15" t="inlineStr">
        <is>
          <t>Pass</t>
        </is>
      </c>
      <c r="M107" s="8" t="inlineStr">
        <is>
          <t>Executed 13-Oct-2026 (scripted check, see Drill-down Verification)</t>
        </is>
      </c>
    </row>
    <row r="108">
      <c r="A108" s="8" t="inlineStr">
        <is>
          <t>LR-107</t>
        </is>
      </c>
      <c r="B108" s="8" t="inlineStr">
        <is>
          <t>Aging &amp; Follow-up</t>
        </is>
      </c>
      <c r="C108" s="8" t="inlineStr">
        <is>
          <t>KPI cards</t>
        </is>
      </c>
      <c r="D108" s="8" t="inlineStr">
        <is>
          <t>Overdue Follow-ups</t>
        </is>
      </c>
      <c r="E108" s="8" t="inlineStr">
        <is>
          <t>Logged in as CRM Administrator; Lead Reports open (https://qa-crm.asquareab.com/reports/leads); Aging &amp; Follow-up tab selected</t>
        </is>
      </c>
      <c r="F108" s="8" t="inlineStr">
        <is>
          <t>1. Read Overdue Follow-ups</t>
        </is>
      </c>
      <c r="G108" s="8" t="inlineStr"/>
      <c r="H108" s="8" t="inlineStr">
        <is>
          <t>Count of open tasks on these leads past their due date; clickable when &gt; 0</t>
        </is>
      </c>
      <c r="I108" s="8" t="inlineStr">
        <is>
          <t>0 (not clickable at 0) — verify with data</t>
        </is>
      </c>
      <c r="J108" s="8" t="inlineStr">
        <is>
          <t>Functional</t>
        </is>
      </c>
      <c r="K108" s="11" t="inlineStr">
        <is>
          <t>Low</t>
        </is>
      </c>
      <c r="L108" s="8" t="inlineStr">
        <is>
          <t>Not Started</t>
        </is>
      </c>
      <c r="M108" s="8" t="inlineStr"/>
    </row>
    <row r="109">
      <c r="A109" s="8" t="inlineStr">
        <is>
          <t>LR-108</t>
        </is>
      </c>
      <c r="B109" s="8" t="inlineStr">
        <is>
          <t>Aging &amp; Follow-up</t>
        </is>
      </c>
      <c r="C109" s="8" t="inlineStr">
        <is>
          <t>Aging</t>
        </is>
      </c>
      <c r="D109" s="8" t="inlineStr">
        <is>
          <t>Aging ignores the period</t>
        </is>
      </c>
      <c r="E109" s="8" t="inlineStr">
        <is>
          <t>Logged in as CRM Administrator; Lead Reports open (https://qa-crm.asquareab.com/reports/leads); Aging &amp; Follow-up tab selected</t>
        </is>
      </c>
      <c r="F109" s="8" t="inlineStr">
        <is>
          <t>1. Note the 4 cards
2. Change period to This month</t>
        </is>
      </c>
      <c r="G109" s="8" t="inlineStr"/>
      <c r="H109" s="8" t="inlineStr">
        <is>
          <t>Values do not change ("as of today")</t>
        </is>
      </c>
      <c r="I109" s="8" t="inlineStr">
        <is>
          <t>As expected</t>
        </is>
      </c>
      <c r="J109" s="8" t="inlineStr">
        <is>
          <t>Functional</t>
        </is>
      </c>
      <c r="K109" s="10" t="inlineStr">
        <is>
          <t>Medium</t>
        </is>
      </c>
      <c r="L109" s="8" t="inlineStr">
        <is>
          <t>Not Started</t>
        </is>
      </c>
      <c r="M109" s="8" t="inlineStr"/>
    </row>
    <row r="110">
      <c r="A110" s="8" t="inlineStr">
        <is>
          <t>LR-109</t>
        </is>
      </c>
      <c r="B110" s="8" t="inlineStr">
        <is>
          <t>Aging &amp; Follow-up</t>
        </is>
      </c>
      <c r="C110" s="8" t="inlineStr">
        <is>
          <t>Idle Time</t>
        </is>
      </c>
      <c r="D110" s="8" t="inlineStr">
        <is>
          <t>Idle Time buckets add up to Open Leads</t>
        </is>
      </c>
      <c r="E110" s="8" t="inlineStr">
        <is>
          <t>Logged in as CRM Administrator; Lead Reports open (https://qa-crm.asquareab.com/reports/leads); Aging &amp; Follow-up tab selected</t>
        </is>
      </c>
      <c r="F110" s="8" t="inlineStr">
        <is>
          <t>1. Read the 6 buckets</t>
        </is>
      </c>
      <c r="G110" s="8" t="inlineStr"/>
      <c r="H110" s="8" t="inlineStr">
        <is>
          <t>0–7, 8–14, 15–30, 31–60, 61–90, Over 90 days; sum = Open Leads</t>
        </is>
      </c>
      <c r="I110" s="8" t="inlineStr">
        <is>
          <t>4+6+12+0+1+341 = 364</t>
        </is>
      </c>
      <c r="J110" s="8" t="inlineStr">
        <is>
          <t>Functional</t>
        </is>
      </c>
      <c r="K110" s="9" t="inlineStr">
        <is>
          <t>High</t>
        </is>
      </c>
      <c r="L110" s="8" t="inlineStr">
        <is>
          <t>Not Started</t>
        </is>
      </c>
      <c r="M110" s="8" t="inlineStr"/>
    </row>
    <row r="111">
      <c r="A111" s="8" t="inlineStr">
        <is>
          <t>LR-110</t>
        </is>
      </c>
      <c r="B111" s="8" t="inlineStr">
        <is>
          <t>Aging &amp; Follow-up</t>
        </is>
      </c>
      <c r="C111" s="8" t="inlineStr">
        <is>
          <t>Lead Age</t>
        </is>
      </c>
      <c r="D111" s="8" t="inlineStr">
        <is>
          <t>Lead Age buckets add up to Open Leads</t>
        </is>
      </c>
      <c r="E111" s="8" t="inlineStr">
        <is>
          <t>Logged in as CRM Administrator; Lead Reports open (https://qa-crm.asquareab.com/reports/leads); Aging &amp; Follow-up tab selected</t>
        </is>
      </c>
      <c r="F111" s="8" t="inlineStr">
        <is>
          <t>1. Read the 6 buckets</t>
        </is>
      </c>
      <c r="G111" s="8" t="inlineStr"/>
      <c r="H111" s="8" t="inlineStr">
        <is>
          <t>Sum = Open Leads</t>
        </is>
      </c>
      <c r="I111" s="8" t="inlineStr">
        <is>
          <t>3+7+12+0+1+341 = 364</t>
        </is>
      </c>
      <c r="J111" s="8" t="inlineStr">
        <is>
          <t>Functional</t>
        </is>
      </c>
      <c r="K111" s="9" t="inlineStr">
        <is>
          <t>High</t>
        </is>
      </c>
      <c r="L111" s="8" t="inlineStr">
        <is>
          <t>Not Started</t>
        </is>
      </c>
      <c r="M111" s="8" t="inlineStr"/>
    </row>
    <row r="112">
      <c r="A112" s="8" t="inlineStr">
        <is>
          <t>LR-111</t>
        </is>
      </c>
      <c r="B112" s="8" t="inlineStr">
        <is>
          <t>Aging &amp; Follow-up</t>
        </is>
      </c>
      <c r="C112" s="8" t="inlineStr">
        <is>
          <t>Open Leads by Salesperson</t>
        </is>
      </c>
      <c r="D112" s="8" t="inlineStr">
        <is>
          <t>Salesperson table adds up</t>
        </is>
      </c>
      <c r="E112" s="8" t="inlineStr">
        <is>
          <t>Logged in as CRM Administrator; Lead Reports open (https://qa-crm.asquareab.com/reports/leads); Aging &amp; Follow-up tab selected</t>
        </is>
      </c>
      <c r="F112" s="8" t="inlineStr">
        <is>
          <t>1. Read the table</t>
        </is>
      </c>
      <c r="G112" s="8" t="inlineStr"/>
      <c r="H112" s="8" t="inlineStr">
        <is>
          <t>Open column sum = Open Leads; Never Contacted sum = Never Contacted card; each idle column sum = matching Idle Time bucket; unassigned leads in an "Unassigned" row</t>
        </is>
      </c>
      <c r="I112" s="8" t="inlineStr">
        <is>
          <t>CRM Administrator 356, Mahalakshmi 4, Unassigned 2 …</t>
        </is>
      </c>
      <c r="J112" s="8" t="inlineStr">
        <is>
          <t>Functional</t>
        </is>
      </c>
      <c r="K112" s="9" t="inlineStr">
        <is>
          <t>High</t>
        </is>
      </c>
      <c r="L112" s="8" t="inlineStr">
        <is>
          <t>Not Started</t>
        </is>
      </c>
      <c r="M112" s="8" t="inlineStr"/>
    </row>
    <row r="113">
      <c r="A113" s="8" t="inlineStr">
        <is>
          <t>LR-112</t>
        </is>
      </c>
      <c r="B113" s="8" t="inlineStr">
        <is>
          <t>Aging &amp; Follow-up</t>
        </is>
      </c>
      <c r="C113" s="8" t="inlineStr">
        <is>
          <t>Open Leads by Salesperson</t>
        </is>
      </c>
      <c r="D113" s="8" t="inlineStr">
        <is>
          <t>Open and Never Contacted counts open their leads</t>
        </is>
      </c>
      <c r="E113" s="8" t="inlineStr">
        <is>
          <t>Logged in as CRM Administrator; Lead Reports open (https://qa-crm.asquareab.com/reports/leads); Aging &amp; Follow-up tab selected</t>
        </is>
      </c>
      <c r="F113" s="8" t="inlineStr">
        <is>
          <t>1. Click CRM Administrator's Open (356)
2. Click Never Contacted (157)</t>
        </is>
      </c>
      <c r="G113" s="8" t="inlineStr"/>
      <c r="H113" s="8" t="inlineStr">
        <is>
          <t>Drill-downs "Open leads · CRM Administrator" (356) and "Never contacted · CRM Administrator" (157)</t>
        </is>
      </c>
      <c r="I113" s="8" t="inlineStr">
        <is>
          <t>All 9 Open / Never Contacted links consistent; every row belongs to that salesperson. CRM Administrator Open: Clicked 356 = header 356 = 356 rows; export 356 rows; no duplicates (verification #135)</t>
        </is>
      </c>
      <c r="J113" s="8" t="inlineStr">
        <is>
          <t>Functional</t>
        </is>
      </c>
      <c r="K113" s="10" t="inlineStr">
        <is>
          <t>Medium</t>
        </is>
      </c>
      <c r="L113" s="15" t="inlineStr">
        <is>
          <t>Pass</t>
        </is>
      </c>
      <c r="M113" s="8" t="inlineStr">
        <is>
          <t>Executed 13-Oct-2026 (scripted check, see Drill-down Verification)</t>
        </is>
      </c>
    </row>
    <row r="114">
      <c r="A114" s="8" t="inlineStr">
        <is>
          <t>LR-113</t>
        </is>
      </c>
      <c r="B114" s="8" t="inlineStr">
        <is>
          <t>Aging &amp; Follow-up</t>
        </is>
      </c>
      <c r="C114" s="8" t="inlineStr">
        <is>
          <t>Export</t>
        </is>
      </c>
      <c r="D114" s="8" t="inlineStr">
        <is>
          <t>Aging export</t>
        </is>
      </c>
      <c r="E114" s="8" t="inlineStr">
        <is>
          <t>Logged in as CRM Administrator; Lead Reports open (https://qa-crm.asquareab.com/reports/leads); Aging &amp; Follow-up tab selected</t>
        </is>
      </c>
      <c r="F114" s="8" t="inlineStr">
        <is>
          <t>1. Click Export on Open Leads by Salesperson</t>
        </is>
      </c>
      <c r="G114" s="8" t="inlineStr"/>
      <c r="H114" s="8" t="inlineStr">
        <is>
          <t>lead-report-aging-&lt;date&gt;.xlsx, sheet "Aging by Salesperson", same rows and figures</t>
        </is>
      </c>
      <c r="I114" s="8" t="inlineStr">
        <is>
          <t>5 rows, 10 columns</t>
        </is>
      </c>
      <c r="J114" s="8" t="inlineStr">
        <is>
          <t>Functional</t>
        </is>
      </c>
      <c r="K114" s="10" t="inlineStr">
        <is>
          <t>Medium</t>
        </is>
      </c>
      <c r="L114" s="8" t="inlineStr">
        <is>
          <t>Not Started</t>
        </is>
      </c>
      <c r="M114" s="8" t="inlineStr"/>
    </row>
    <row r="115">
      <c r="A115" s="8" t="inlineStr">
        <is>
          <t>LR-114</t>
        </is>
      </c>
      <c r="B115" s="8" t="inlineStr">
        <is>
          <t>Aging &amp; Follow-up</t>
        </is>
      </c>
      <c r="C115" s="8" t="inlineStr">
        <is>
          <t>Open Leads by Status</t>
        </is>
      </c>
      <c r="D115" s="8" t="inlineStr">
        <is>
          <t>Status table adds up</t>
        </is>
      </c>
      <c r="E115" s="8" t="inlineStr">
        <is>
          <t>Logged in as CRM Administrator; Lead Reports open (https://qa-crm.asquareab.com/reports/leads); Aging &amp; Follow-up tab selected</t>
        </is>
      </c>
      <c r="F115" s="8" t="inlineStr">
        <is>
          <t>1. Read Open Leads by Status</t>
        </is>
      </c>
      <c r="G115" s="8" t="inlineStr"/>
      <c r="H115" s="8" t="inlineStr">
        <is>
          <t>Open column sum = Open Leads; Avg Idle shown in days; only open statuses listed</t>
        </is>
      </c>
      <c r="I115" s="8" t="inlineStr">
        <is>
          <t>Assigned 162, Qualified 128, Contacted 72, New 2 = 364</t>
        </is>
      </c>
      <c r="J115" s="8" t="inlineStr">
        <is>
          <t>Functional</t>
        </is>
      </c>
      <c r="K115" s="10" t="inlineStr">
        <is>
          <t>Medium</t>
        </is>
      </c>
      <c r="L115" s="8" t="inlineStr">
        <is>
          <t>Not Started</t>
        </is>
      </c>
      <c r="M115" s="8" t="inlineStr"/>
    </row>
    <row r="116">
      <c r="A116" s="8" t="inlineStr">
        <is>
          <t>LR-115</t>
        </is>
      </c>
      <c r="B116" s="8" t="inlineStr">
        <is>
          <t>Aging &amp; Follow-up</t>
        </is>
      </c>
      <c r="C116" s="8" t="inlineStr">
        <is>
          <t>Longest Idle Leads</t>
        </is>
      </c>
      <c r="D116" s="8" t="inlineStr">
        <is>
          <t>Longest Idle Leads list</t>
        </is>
      </c>
      <c r="E116" s="8" t="inlineStr">
        <is>
          <t>Logged in as CRM Administrator; Lead Reports open (https://qa-crm.asquareab.com/reports/leads); Aging &amp; Follow-up tab selected</t>
        </is>
      </c>
      <c r="F116" s="8" t="inlineStr">
        <is>
          <t>1. Read the list</t>
        </is>
      </c>
      <c r="G116" s="8" t="inlineStr"/>
      <c r="H116" s="8" t="inlineStr">
        <is>
          <t>25 open leads sorted by Idle (longest first); columns Lead, Salesperson, Status, Idle, Captured</t>
        </is>
      </c>
      <c r="I116" s="8" t="inlineStr">
        <is>
          <t>25 rows; first LD-2026-0001, 285 d</t>
        </is>
      </c>
      <c r="J116" s="8" t="inlineStr">
        <is>
          <t>Functional</t>
        </is>
      </c>
      <c r="K116" s="10" t="inlineStr">
        <is>
          <t>Medium</t>
        </is>
      </c>
      <c r="L116" s="8" t="inlineStr">
        <is>
          <t>Not Started</t>
        </is>
      </c>
      <c r="M116" s="8" t="inlineStr"/>
    </row>
    <row r="117">
      <c r="A117" s="8" t="inlineStr">
        <is>
          <t>LR-116</t>
        </is>
      </c>
      <c r="B117" s="8" t="inlineStr">
        <is>
          <t>Aging &amp; Follow-up</t>
        </is>
      </c>
      <c r="C117" s="8" t="inlineStr">
        <is>
          <t>Longest Idle Leads</t>
        </is>
      </c>
      <c r="D117" s="8" t="inlineStr">
        <is>
          <t>Lead link opens the lead</t>
        </is>
      </c>
      <c r="E117" s="8" t="inlineStr">
        <is>
          <t>Logged in as CRM Administrator; Lead Reports open (https://qa-crm.asquareab.com/reports/leads); Aging &amp; Follow-up tab selected</t>
        </is>
      </c>
      <c r="F117" s="8" t="inlineStr">
        <is>
          <t>1. Click LD-2026-0001</t>
        </is>
      </c>
      <c r="G117" s="8" t="inlineStr"/>
      <c r="H117" s="8" t="inlineStr">
        <is>
          <t>Leads page opens with the Lead Detail of LD-2026-0001</t>
        </is>
      </c>
      <c r="I117" s="8" t="inlineStr">
        <is>
          <t>As expected</t>
        </is>
      </c>
      <c r="J117" s="8" t="inlineStr">
        <is>
          <t>Navigation</t>
        </is>
      </c>
      <c r="K117" s="10" t="inlineStr">
        <is>
          <t>Medium</t>
        </is>
      </c>
      <c r="L117" s="8" t="inlineStr">
        <is>
          <t>Not Started</t>
        </is>
      </c>
      <c r="M117" s="8" t="inlineStr"/>
    </row>
    <row r="118">
      <c r="A118" s="8" t="inlineStr">
        <is>
          <t>LR-117</t>
        </is>
      </c>
      <c r="B118" s="8" t="inlineStr">
        <is>
          <t>Qualification &amp; Conversion</t>
        </is>
      </c>
      <c r="C118" s="8" t="inlineStr">
        <is>
          <t>KPI cards</t>
        </is>
      </c>
      <c r="D118" s="8" t="inlineStr">
        <is>
          <t>Time-to-stage cards</t>
        </is>
      </c>
      <c r="E118" s="8" t="inlineStr">
        <is>
          <t>Logged in as CRM Administrator; Lead Reports open (https://qa-crm.asquareab.com/reports/leads); Qualification &amp; Conversion tab selected</t>
        </is>
      </c>
      <c r="F118" s="8" t="inlineStr">
        <is>
          <t>1. Open Qualification &amp; Conversion</t>
        </is>
      </c>
      <c r="G118" s="8" t="inlineStr"/>
      <c r="H118" s="8" t="inlineStr">
        <is>
          <t>Capture → First Contact, Qualified, Opportunity, SPA Signed: median as the value, average in the subtitle; later stages ≥ earlier ones</t>
        </is>
      </c>
      <c r="I118" s="8" t="inlineStr">
        <is>
          <t>2 d / 2 d / 5 d / 43.5 d (averages 2.8, 2, 4.2, 39.4 d)</t>
        </is>
      </c>
      <c r="J118" s="8" t="inlineStr">
        <is>
          <t>Functional</t>
        </is>
      </c>
      <c r="K118" s="10" t="inlineStr">
        <is>
          <t>Medium</t>
        </is>
      </c>
      <c r="L118" s="8" t="inlineStr">
        <is>
          <t>Not Started</t>
        </is>
      </c>
      <c r="M118" s="8" t="inlineStr"/>
    </row>
    <row r="119">
      <c r="A119" s="8" t="inlineStr">
        <is>
          <t>LR-118</t>
        </is>
      </c>
      <c r="B119" s="8" t="inlineStr">
        <is>
          <t>Qualification &amp; Conversion</t>
        </is>
      </c>
      <c r="C119" s="8" t="inlineStr">
        <is>
          <t>KPI cards</t>
        </is>
      </c>
      <c r="D119" s="8" t="inlineStr">
        <is>
          <t>First-contact average matches Overview</t>
        </is>
      </c>
      <c r="E119" s="8" t="inlineStr">
        <is>
          <t>Logged in as CRM Administrator; Lead Reports open (https://qa-crm.asquareab.com/reports/leads); Qualification &amp; Conversion tab selected</t>
        </is>
      </c>
      <c r="F119" s="8" t="inlineStr">
        <is>
          <t>1. Compare the Capture → First Contact average with Overview Avg Time to First Contact</t>
        </is>
      </c>
      <c r="G119" s="8" t="inlineStr"/>
      <c r="H119" s="8" t="inlineStr">
        <is>
          <t>Equal</t>
        </is>
      </c>
      <c r="I119" s="8" t="inlineStr">
        <is>
          <t>2.8 d = 2.8 d</t>
        </is>
      </c>
      <c r="J119" s="8" t="inlineStr">
        <is>
          <t>Functional</t>
        </is>
      </c>
      <c r="K119" s="10" t="inlineStr">
        <is>
          <t>Medium</t>
        </is>
      </c>
      <c r="L119" s="8" t="inlineStr">
        <is>
          <t>Not Started</t>
        </is>
      </c>
      <c r="M119" s="8" t="inlineStr"/>
    </row>
    <row r="120">
      <c r="A120" s="8" t="inlineStr">
        <is>
          <t>LR-119</t>
        </is>
      </c>
      <c r="B120" s="8" t="inlineStr">
        <is>
          <t>Qualification &amp; Conversion</t>
        </is>
      </c>
      <c r="C120" s="8" t="inlineStr">
        <is>
          <t>Conversion by Lead Rating</t>
        </is>
      </c>
      <c r="D120" s="8" t="inlineStr">
        <is>
          <t>Rating table adds up</t>
        </is>
      </c>
      <c r="E120" s="8" t="inlineStr">
        <is>
          <t>Logged in as CRM Administrator; Lead Reports open (https://qa-crm.asquareab.com/reports/leads); Qualification &amp; Conversion tab selected</t>
        </is>
      </c>
      <c r="F120" s="8" t="inlineStr">
        <is>
          <t>1. Read the table</t>
        </is>
      </c>
      <c r="G120" s="8" t="inlineStr"/>
      <c r="H120" s="8" t="inlineStr">
        <is>
          <t>One row per rating (Hot, Nurture, …, Not rated); Leads sum = Leads Captured; same columns and % rules as Source &amp; Channel</t>
        </is>
      </c>
      <c r="I120" s="8" t="inlineStr">
        <is>
          <t>Hot 564, Not rated 26, Nurture 15 …</t>
        </is>
      </c>
      <c r="J120" s="8" t="inlineStr">
        <is>
          <t>Functional</t>
        </is>
      </c>
      <c r="K120" s="9" t="inlineStr">
        <is>
          <t>High</t>
        </is>
      </c>
      <c r="L120" s="8" t="inlineStr">
        <is>
          <t>Not Started</t>
        </is>
      </c>
      <c r="M120" s="8" t="inlineStr"/>
    </row>
    <row r="121">
      <c r="A121" s="8" t="inlineStr">
        <is>
          <t>LR-120</t>
        </is>
      </c>
      <c r="B121" s="8" t="inlineStr">
        <is>
          <t>Qualification &amp; Conversion</t>
        </is>
      </c>
      <c r="C121" s="8" t="inlineStr">
        <is>
          <t>Conversion by Lead Score</t>
        </is>
      </c>
      <c r="D121" s="8" t="inlineStr">
        <is>
          <t>Score bands add up</t>
        </is>
      </c>
      <c r="E121" s="8" t="inlineStr">
        <is>
          <t>Logged in as CRM Administrator; Lead Reports open (https://qa-crm.asquareab.com/reports/leads); Qualification &amp; Conversion tab selected</t>
        </is>
      </c>
      <c r="F121" s="8" t="inlineStr">
        <is>
          <t>1. Read the table</t>
        </is>
      </c>
      <c r="G121" s="8" t="inlineStr"/>
      <c r="H121" s="8" t="inlineStr">
        <is>
          <t>Bands 0–39, 40–59, 60–79, 80–100; Leads sum = Leads Captured</t>
        </is>
      </c>
      <c r="I121" s="8" t="inlineStr">
        <is>
          <t>0–39: 24, 40–59: 76, 60–79: 293 …</t>
        </is>
      </c>
      <c r="J121" s="8" t="inlineStr">
        <is>
          <t>Functional</t>
        </is>
      </c>
      <c r="K121" s="9" t="inlineStr">
        <is>
          <t>High</t>
        </is>
      </c>
      <c r="L121" s="8" t="inlineStr">
        <is>
          <t>Not Started</t>
        </is>
      </c>
      <c r="M121" s="8" t="inlineStr"/>
    </row>
    <row r="122">
      <c r="A122" s="8" t="inlineStr">
        <is>
          <t>LR-121</t>
        </is>
      </c>
      <c r="B122" s="8" t="inlineStr">
        <is>
          <t>Qualification &amp; Conversion</t>
        </is>
      </c>
      <c r="C122" s="8" t="inlineStr">
        <is>
          <t>Tables</t>
        </is>
      </c>
      <c r="D122" s="8" t="inlineStr">
        <is>
          <t>Avg First Contact uses one unit</t>
        </is>
      </c>
      <c r="E122" s="8" t="inlineStr">
        <is>
          <t>Logged in as CRM Administrator; Lead Reports open (https://qa-crm.asquareab.com/reports/leads); Qualification &amp; Conversion tab selected</t>
        </is>
      </c>
      <c r="F122" s="8" t="inlineStr">
        <is>
          <t>1. Look at Avg First Contact in both tables</t>
        </is>
      </c>
      <c r="G122" s="8" t="inlineStr"/>
      <c r="H122" s="8" t="inlineStr">
        <is>
          <t>Values use consistent units (hours below a day, days above), clearly labelled</t>
        </is>
      </c>
      <c r="I122" s="12" t="inlineStr">
        <is>
          <t>Mixes "46.4 h" and "85.9 d" (OBS-09)</t>
        </is>
      </c>
      <c r="J122" s="8" t="inlineStr">
        <is>
          <t>UI</t>
        </is>
      </c>
      <c r="K122" s="11" t="inlineStr">
        <is>
          <t>Low</t>
        </is>
      </c>
      <c r="L122" s="8" t="inlineStr">
        <is>
          <t>Not Started</t>
        </is>
      </c>
      <c r="M122" s="8" t="inlineStr"/>
    </row>
    <row r="123">
      <c r="A123" s="8" t="inlineStr">
        <is>
          <t>LR-122</t>
        </is>
      </c>
      <c r="B123" s="8" t="inlineStr">
        <is>
          <t>Qualification &amp; Conversion</t>
        </is>
      </c>
      <c r="C123" s="8" t="inlineStr">
        <is>
          <t>Where the Leads Are Now</t>
        </is>
      </c>
      <c r="D123" s="8" t="inlineStr">
        <is>
          <t>Current status of the period's leads</t>
        </is>
      </c>
      <c r="E123" s="8" t="inlineStr">
        <is>
          <t>Logged in as CRM Administrator; Lead Reports open (https://qa-crm.asquareab.com/reports/leads); Qualification &amp; Conversion tab selected</t>
        </is>
      </c>
      <c r="F123" s="8" t="inlineStr">
        <is>
          <t>1. Read the list</t>
        </is>
      </c>
      <c r="G123" s="8" t="inlineStr"/>
      <c r="H123" s="8" t="inlineStr">
        <is>
          <t>Every status with its count; total = Leads Captured</t>
        </is>
      </c>
      <c r="I123" s="8" t="inlineStr">
        <is>
          <t>162+128+127+121+72+2+1 = 613</t>
        </is>
      </c>
      <c r="J123" s="8" t="inlineStr">
        <is>
          <t>Functional</t>
        </is>
      </c>
      <c r="K123" s="9" t="inlineStr">
        <is>
          <t>High</t>
        </is>
      </c>
      <c r="L123" s="8" t="inlineStr">
        <is>
          <t>Not Started</t>
        </is>
      </c>
      <c r="M123" s="8" t="inlineStr"/>
    </row>
    <row r="124">
      <c r="A124" s="8" t="inlineStr">
        <is>
          <t>LR-123</t>
        </is>
      </c>
      <c r="B124" s="8" t="inlineStr">
        <is>
          <t>Qualification &amp; Conversion</t>
        </is>
      </c>
      <c r="C124" s="8" t="inlineStr">
        <is>
          <t>Lost Reasons</t>
        </is>
      </c>
      <c r="D124" s="8" t="inlineStr">
        <is>
          <t>Lost reasons add up to Lost</t>
        </is>
      </c>
      <c r="E124" s="8" t="inlineStr">
        <is>
          <t>Logged in as CRM Administrator; Lead Reports open (https://qa-crm.asquareab.com/reports/leads); Qualification &amp; Conversion tab selected</t>
        </is>
      </c>
      <c r="F124" s="8" t="inlineStr">
        <is>
          <t>1. Read Lost Reasons</t>
        </is>
      </c>
      <c r="G124" s="8" t="inlineStr"/>
      <c r="H124" s="8" t="inlineStr">
        <is>
          <t>Each reason with count and %; total = Lost (Source &amp; Channel Total row)</t>
        </is>
      </c>
      <c r="I124" s="8" t="inlineStr">
        <is>
          <t>Reason not recorded 127 (99.2%), Not interested 1 (0.8%) = 128</t>
        </is>
      </c>
      <c r="J124" s="8" t="inlineStr">
        <is>
          <t>Functional</t>
        </is>
      </c>
      <c r="K124" s="9" t="inlineStr">
        <is>
          <t>High</t>
        </is>
      </c>
      <c r="L124" s="8" t="inlineStr">
        <is>
          <t>Not Started</t>
        </is>
      </c>
      <c r="M124" s="8" t="inlineStr"/>
    </row>
    <row r="125">
      <c r="A125" s="8" t="inlineStr">
        <is>
          <t>LR-124</t>
        </is>
      </c>
      <c r="B125" s="8" t="inlineStr">
        <is>
          <t>Qualification &amp; Conversion</t>
        </is>
      </c>
      <c r="C125" s="8" t="inlineStr">
        <is>
          <t>Lost Reasons</t>
        </is>
      </c>
      <c r="D125" s="8" t="inlineStr">
        <is>
          <t>"View lost leads" opens the lost leads</t>
        </is>
      </c>
      <c r="E125" s="8" t="inlineStr">
        <is>
          <t>Logged in as CRM Administrator; Lead Reports open (https://qa-crm.asquareab.com/reports/leads); Qualification &amp; Conversion tab selected</t>
        </is>
      </c>
      <c r="F125" s="8" t="inlineStr">
        <is>
          <t>1. Click "View lost leads"</t>
        </is>
      </c>
      <c r="G125" s="8" t="inlineStr"/>
      <c r="H125" s="8" t="inlineStr">
        <is>
          <t>Drill-down "Lost or disqualified leads" with the same total</t>
        </is>
      </c>
      <c r="I125" s="8" t="inlineStr">
        <is>
          <t>Lost Reasons total 128 = header 128 = 128 rows; export 128 rows; no duplicates (verification #144); all rows Lost/Disqualified</t>
        </is>
      </c>
      <c r="J125" s="8" t="inlineStr">
        <is>
          <t>Functional</t>
        </is>
      </c>
      <c r="K125" s="9" t="inlineStr">
        <is>
          <t>High</t>
        </is>
      </c>
      <c r="L125" s="15" t="inlineStr">
        <is>
          <t>Pass</t>
        </is>
      </c>
      <c r="M125" s="8" t="inlineStr">
        <is>
          <t>Executed 13-Oct-2026 (scripted check, see Drill-down Verification)</t>
        </is>
      </c>
    </row>
    <row r="126">
      <c r="A126" s="8" t="inlineStr">
        <is>
          <t>LR-125</t>
        </is>
      </c>
      <c r="B126" s="8" t="inlineStr">
        <is>
          <t>Qualification &amp; Conversion</t>
        </is>
      </c>
      <c r="C126" s="8" t="inlineStr">
        <is>
          <t>Tables</t>
        </is>
      </c>
      <c r="D126" s="8" t="inlineStr">
        <is>
          <t>Rating and Score counts are not links</t>
        </is>
      </c>
      <c r="E126" s="8" t="inlineStr">
        <is>
          <t>Logged in as CRM Administrator; Lead Reports open (https://qa-crm.asquareab.com/reports/leads); Qualification &amp; Conversion tab selected</t>
        </is>
      </c>
      <c r="F126" s="8" t="inlineStr">
        <is>
          <t>1. Click a count in the Rating or Score table</t>
        </is>
      </c>
      <c r="G126" s="8" t="inlineStr"/>
      <c r="H126" s="8" t="inlineStr">
        <is>
          <t>Agreed behaviour: no drill-down (unlike Source &amp; Channel)</t>
        </is>
      </c>
      <c r="I126" s="12" t="inlineStr">
        <is>
          <t>Not clickable (OBS-04)</t>
        </is>
      </c>
      <c r="J126" s="8" t="inlineStr">
        <is>
          <t>UI</t>
        </is>
      </c>
      <c r="K126" s="11" t="inlineStr">
        <is>
          <t>Low</t>
        </is>
      </c>
      <c r="L126" s="8" t="inlineStr">
        <is>
          <t>Not Started</t>
        </is>
      </c>
      <c r="M126" s="8" t="inlineStr"/>
    </row>
    <row r="127">
      <c r="A127" s="8" t="inlineStr">
        <is>
          <t>LR-126</t>
        </is>
      </c>
      <c r="B127" s="8" t="inlineStr">
        <is>
          <t>Salesperson Scorecard</t>
        </is>
      </c>
      <c r="C127" s="8" t="inlineStr">
        <is>
          <t>Table</t>
        </is>
      </c>
      <c r="D127" s="8" t="inlineStr">
        <is>
          <t>Scorecard columns</t>
        </is>
      </c>
      <c r="E127" s="8" t="inlineStr">
        <is>
          <t>Logged in as CRM Administrator; Lead Reports open (https://qa-crm.asquareab.com/reports/leads); Salesperson Scorecard tab selected</t>
        </is>
      </c>
      <c r="F127" s="8" t="inlineStr">
        <is>
          <t>1. Open Salesperson Scorecard</t>
        </is>
      </c>
      <c r="G127" s="8" t="inlineStr"/>
      <c r="H127" s="8" t="inlineStr">
        <is>
          <t>One row per salesperson; columns Salesperson, Leads, Contacted, Qualified, Opportunity, SPA Signed, Conv. %, Win %, Won Value, Avg First Contact, Open Now, Idle &gt; 30 d, Never Contacted, Overdue Tasks, Calls, Meetings, Tasks Done; note explains period vs today</t>
        </is>
      </c>
      <c r="I127" s="8" t="inlineStr">
        <is>
          <t>9 rows</t>
        </is>
      </c>
      <c r="J127" s="8" t="inlineStr">
        <is>
          <t>UI</t>
        </is>
      </c>
      <c r="K127" s="9" t="inlineStr">
        <is>
          <t>High</t>
        </is>
      </c>
      <c r="L127" s="8" t="inlineStr">
        <is>
          <t>Not Started</t>
        </is>
      </c>
      <c r="M127" s="8" t="inlineStr"/>
    </row>
    <row r="128">
      <c r="A128" s="8" t="inlineStr">
        <is>
          <t>LR-127</t>
        </is>
      </c>
      <c r="B128" s="8" t="inlineStr">
        <is>
          <t>Salesperson Scorecard</t>
        </is>
      </c>
      <c r="C128" s="8" t="inlineStr">
        <is>
          <t>Table</t>
        </is>
      </c>
      <c r="D128" s="8" t="inlineStr">
        <is>
          <t>Scorecard adds up to the report totals</t>
        </is>
      </c>
      <c r="E128" s="8" t="inlineStr">
        <is>
          <t>Logged in as CRM Administrator; Lead Reports open (https://qa-crm.asquareab.com/reports/leads); Salesperson Scorecard tab selected</t>
        </is>
      </c>
      <c r="F128" s="8" t="inlineStr">
        <is>
          <t>1. Add Leads, SPA Signed, Open Now</t>
        </is>
      </c>
      <c r="G128" s="8" t="inlineStr"/>
      <c r="H128" s="8" t="inlineStr">
        <is>
          <t>Sums = Leads Captured, SPA Signed, Open Leads Now; each salesperson's Open Now = Aging table Open</t>
        </is>
      </c>
      <c r="I128" s="8" t="inlineStr">
        <is>
          <t>CRM Administrator: Open Now 356 = Aging 356</t>
        </is>
      </c>
      <c r="J128" s="8" t="inlineStr">
        <is>
          <t>Functional</t>
        </is>
      </c>
      <c r="K128" s="9" t="inlineStr">
        <is>
          <t>High</t>
        </is>
      </c>
      <c r="L128" s="8" t="inlineStr">
        <is>
          <t>Not Started</t>
        </is>
      </c>
      <c r="M128" s="8" t="inlineStr"/>
    </row>
    <row r="129">
      <c r="A129" s="8" t="inlineStr">
        <is>
          <t>LR-128</t>
        </is>
      </c>
      <c r="B129" s="8" t="inlineStr">
        <is>
          <t>Salesperson Scorecard</t>
        </is>
      </c>
      <c r="C129" s="8" t="inlineStr">
        <is>
          <t>Table</t>
        </is>
      </c>
      <c r="D129" s="8" t="inlineStr">
        <is>
          <t>Scorecard percentages</t>
        </is>
      </c>
      <c r="E129" s="8" t="inlineStr">
        <is>
          <t>Logged in as CRM Administrator; Lead Reports open (https://qa-crm.asquareab.com/reports/leads); Salesperson Scorecard tab selected</t>
        </is>
      </c>
      <c r="F129" s="8" t="inlineStr">
        <is>
          <t>1. For a row compute Opportunity ÷ Leads and SPA Signed ÷ Leads</t>
        </is>
      </c>
      <c r="G129" s="8" t="inlineStr"/>
      <c r="H129" s="8" t="inlineStr">
        <is>
          <t>Conv. % and Win % match</t>
        </is>
      </c>
      <c r="I129" s="8" t="inlineStr">
        <is>
          <t>CRM Administrator 114/597 = 19.1%, 75/597 = 12.6%</t>
        </is>
      </c>
      <c r="J129" s="8" t="inlineStr">
        <is>
          <t>Functional</t>
        </is>
      </c>
      <c r="K129" s="9" t="inlineStr">
        <is>
          <t>High</t>
        </is>
      </c>
      <c r="L129" s="8" t="inlineStr">
        <is>
          <t>Not Started</t>
        </is>
      </c>
      <c r="M129" s="8" t="inlineStr"/>
    </row>
    <row r="130">
      <c r="A130" s="8" t="inlineStr">
        <is>
          <t>LR-129</t>
        </is>
      </c>
      <c r="B130" s="8" t="inlineStr">
        <is>
          <t>Salesperson Scorecard</t>
        </is>
      </c>
      <c r="C130" s="8" t="inlineStr">
        <is>
          <t>Count links</t>
        </is>
      </c>
      <c r="D130" s="8" t="inlineStr">
        <is>
          <t>"Leads" count opens that salesperson's leads</t>
        </is>
      </c>
      <c r="E130" s="8" t="inlineStr">
        <is>
          <t>Logged in as CRM Administrator; Lead Reports open (https://qa-crm.asquareab.com/reports/leads); Salesperson Scorecard tab selected</t>
        </is>
      </c>
      <c r="F130" s="8" t="inlineStr">
        <is>
          <t>1. Click CRM Administrator's Leads value</t>
        </is>
      </c>
      <c r="G130" s="8" t="inlineStr"/>
      <c r="H130" s="8" t="inlineStr">
        <is>
          <t>Drill-down for that salesperson with the same number of leads</t>
        </is>
      </c>
      <c r="I130" s="8" t="inlineStr">
        <is>
          <t>CRM Administrator: Clicked 597 = header 597; 500 rows shown + "showing the first 500"; export 597 rows; no duplicates (verification #145). All 8 "Leads" links (every salesperson) consistent; rows belong to that salesperson</t>
        </is>
      </c>
      <c r="J130" s="8" t="inlineStr">
        <is>
          <t>Functional</t>
        </is>
      </c>
      <c r="K130" s="10" t="inlineStr">
        <is>
          <t>Medium</t>
        </is>
      </c>
      <c r="L130" s="15" t="inlineStr">
        <is>
          <t>Pass</t>
        </is>
      </c>
      <c r="M130" s="8" t="inlineStr">
        <is>
          <t>Executed 13-Oct-2026 (scripted check, see Drill-down Verification)</t>
        </is>
      </c>
    </row>
    <row r="131">
      <c r="A131" s="8" t="inlineStr">
        <is>
          <t>LR-130</t>
        </is>
      </c>
      <c r="B131" s="8" t="inlineStr">
        <is>
          <t>Salesperson Scorecard</t>
        </is>
      </c>
      <c r="C131" s="8" t="inlineStr">
        <is>
          <t>Count links</t>
        </is>
      </c>
      <c r="D131" s="8" t="inlineStr">
        <is>
          <t>"Contacted" count opens that salesperson's leads</t>
        </is>
      </c>
      <c r="E131" s="8" t="inlineStr">
        <is>
          <t>Logged in as CRM Administrator; Lead Reports open (https://qa-crm.asquareab.com/reports/leads); Salesperson Scorecard tab selected</t>
        </is>
      </c>
      <c r="F131" s="8" t="inlineStr">
        <is>
          <t>1. Click CRM Administrator's Contacted value</t>
        </is>
      </c>
      <c r="G131" s="8" t="inlineStr"/>
      <c r="H131" s="8" t="inlineStr">
        <is>
          <t>Drill-down for that salesperson with the same number of leads</t>
        </is>
      </c>
      <c r="I131" s="8" t="inlineStr">
        <is>
          <t>CRM Administrator: Clicked 313 = header 313 = 313 rows; export 313 rows; no duplicates (verification #146). All 5 "Contacted" links (every salesperson) consistent; rows belong to that salesperson</t>
        </is>
      </c>
      <c r="J131" s="8" t="inlineStr">
        <is>
          <t>Functional</t>
        </is>
      </c>
      <c r="K131" s="10" t="inlineStr">
        <is>
          <t>Medium</t>
        </is>
      </c>
      <c r="L131" s="15" t="inlineStr">
        <is>
          <t>Pass</t>
        </is>
      </c>
      <c r="M131" s="8" t="inlineStr">
        <is>
          <t>Executed 13-Oct-2026 (scripted check, see Drill-down Verification)</t>
        </is>
      </c>
    </row>
    <row r="132">
      <c r="A132" s="8" t="inlineStr">
        <is>
          <t>LR-131</t>
        </is>
      </c>
      <c r="B132" s="8" t="inlineStr">
        <is>
          <t>Salesperson Scorecard</t>
        </is>
      </c>
      <c r="C132" s="8" t="inlineStr">
        <is>
          <t>Count links</t>
        </is>
      </c>
      <c r="D132" s="8" t="inlineStr">
        <is>
          <t>"Qualified" count opens that salesperson's leads</t>
        </is>
      </c>
      <c r="E132" s="8" t="inlineStr">
        <is>
          <t>Logged in as CRM Administrator; Lead Reports open (https://qa-crm.asquareab.com/reports/leads); Salesperson Scorecard tab selected</t>
        </is>
      </c>
      <c r="F132" s="8" t="inlineStr">
        <is>
          <t>1. Click CRM Administrator's Qualified value</t>
        </is>
      </c>
      <c r="G132" s="8" t="inlineStr"/>
      <c r="H132" s="8" t="inlineStr">
        <is>
          <t>Drill-down for that salesperson with the same number of leads</t>
        </is>
      </c>
      <c r="I132" s="8" t="inlineStr">
        <is>
          <t>CRM Administrator: Clicked 241 = header 241 = 241 rows; export 241 rows; no duplicates (verification #147). All 4 "Qualified" links (every salesperson) consistent; rows belong to that salesperson</t>
        </is>
      </c>
      <c r="J132" s="8" t="inlineStr">
        <is>
          <t>Functional</t>
        </is>
      </c>
      <c r="K132" s="10" t="inlineStr">
        <is>
          <t>Medium</t>
        </is>
      </c>
      <c r="L132" s="15" t="inlineStr">
        <is>
          <t>Pass</t>
        </is>
      </c>
      <c r="M132" s="8" t="inlineStr">
        <is>
          <t>Executed 13-Oct-2026 (scripted check, see Drill-down Verification)</t>
        </is>
      </c>
    </row>
    <row r="133">
      <c r="A133" s="8" t="inlineStr">
        <is>
          <t>LR-132</t>
        </is>
      </c>
      <c r="B133" s="8" t="inlineStr">
        <is>
          <t>Salesperson Scorecard</t>
        </is>
      </c>
      <c r="C133" s="8" t="inlineStr">
        <is>
          <t>Count links</t>
        </is>
      </c>
      <c r="D133" s="8" t="inlineStr">
        <is>
          <t>"Opportunity" count opens that salesperson's leads</t>
        </is>
      </c>
      <c r="E133" s="8" t="inlineStr">
        <is>
          <t>Logged in as CRM Administrator; Lead Reports open (https://qa-crm.asquareab.com/reports/leads); Salesperson Scorecard tab selected</t>
        </is>
      </c>
      <c r="F133" s="8" t="inlineStr">
        <is>
          <t>1. Click CRM Administrator's Opportunity value</t>
        </is>
      </c>
      <c r="G133" s="8" t="inlineStr"/>
      <c r="H133" s="8" t="inlineStr">
        <is>
          <t>Drill-down for that salesperson with the same number of leads</t>
        </is>
      </c>
      <c r="I133" s="8" t="inlineStr">
        <is>
          <t>CRM Administrator: Clicked 114 = header 114 = 114 rows; export 114 rows; no duplicates (verification #148). All 4 "Opportunity" links (every salesperson) consistent; rows belong to that salesperson</t>
        </is>
      </c>
      <c r="J133" s="8" t="inlineStr">
        <is>
          <t>Functional</t>
        </is>
      </c>
      <c r="K133" s="10" t="inlineStr">
        <is>
          <t>Medium</t>
        </is>
      </c>
      <c r="L133" s="15" t="inlineStr">
        <is>
          <t>Pass</t>
        </is>
      </c>
      <c r="M133" s="8" t="inlineStr">
        <is>
          <t>Executed 13-Oct-2026 (scripted check, see Drill-down Verification)</t>
        </is>
      </c>
    </row>
    <row r="134">
      <c r="A134" s="8" t="inlineStr">
        <is>
          <t>LR-133</t>
        </is>
      </c>
      <c r="B134" s="8" t="inlineStr">
        <is>
          <t>Salesperson Scorecard</t>
        </is>
      </c>
      <c r="C134" s="8" t="inlineStr">
        <is>
          <t>Count links</t>
        </is>
      </c>
      <c r="D134" s="8" t="inlineStr">
        <is>
          <t>"SPA Signed" count opens that salesperson's leads</t>
        </is>
      </c>
      <c r="E134" s="8" t="inlineStr">
        <is>
          <t>Logged in as CRM Administrator; Lead Reports open (https://qa-crm.asquareab.com/reports/leads); Salesperson Scorecard tab selected</t>
        </is>
      </c>
      <c r="F134" s="8" t="inlineStr">
        <is>
          <t>1. Click CRM Administrator's SPA Signed value</t>
        </is>
      </c>
      <c r="G134" s="8" t="inlineStr"/>
      <c r="H134" s="8" t="inlineStr">
        <is>
          <t>Drill-down for that salesperson with the same number of leads</t>
        </is>
      </c>
      <c r="I134" s="8" t="inlineStr">
        <is>
          <t>CRM Administrator: Clicked 75 = header 75 = 75 rows; export 75 rows; no duplicates (verification #149). All 2 "SPA Signed" links (every salesperson) consistent; rows belong to that salesperson</t>
        </is>
      </c>
      <c r="J134" s="8" t="inlineStr">
        <is>
          <t>Functional</t>
        </is>
      </c>
      <c r="K134" s="10" t="inlineStr">
        <is>
          <t>Medium</t>
        </is>
      </c>
      <c r="L134" s="15" t="inlineStr">
        <is>
          <t>Pass</t>
        </is>
      </c>
      <c r="M134" s="8" t="inlineStr">
        <is>
          <t>Executed 13-Oct-2026 (scripted check, see Drill-down Verification)</t>
        </is>
      </c>
    </row>
    <row r="135">
      <c r="A135" s="8" t="inlineStr">
        <is>
          <t>LR-134</t>
        </is>
      </c>
      <c r="B135" s="8" t="inlineStr">
        <is>
          <t>Salesperson Scorecard</t>
        </is>
      </c>
      <c r="C135" s="8" t="inlineStr">
        <is>
          <t>Count links</t>
        </is>
      </c>
      <c r="D135" s="8" t="inlineStr">
        <is>
          <t>"Open Now" count opens that salesperson's leads</t>
        </is>
      </c>
      <c r="E135" s="8" t="inlineStr">
        <is>
          <t>Logged in as CRM Administrator; Lead Reports open (https://qa-crm.asquareab.com/reports/leads); Salesperson Scorecard tab selected</t>
        </is>
      </c>
      <c r="F135" s="8" t="inlineStr">
        <is>
          <t>1. Click CRM Administrator's Open Now value</t>
        </is>
      </c>
      <c r="G135" s="8" t="inlineStr"/>
      <c r="H135" s="8" t="inlineStr">
        <is>
          <t>Drill-down for that salesperson with the same number of leads</t>
        </is>
      </c>
      <c r="I135" s="8" t="inlineStr">
        <is>
          <t>CRM Administrator: Clicked 356 = header 356 = 356 rows; export 356 rows; no duplicates (verification #150). All 5 "Open Now" links (every salesperson) consistent; rows belong to that salesperson</t>
        </is>
      </c>
      <c r="J135" s="8" t="inlineStr">
        <is>
          <t>Functional</t>
        </is>
      </c>
      <c r="K135" s="10" t="inlineStr">
        <is>
          <t>Medium</t>
        </is>
      </c>
      <c r="L135" s="15" t="inlineStr">
        <is>
          <t>Pass</t>
        </is>
      </c>
      <c r="M135" s="8" t="inlineStr">
        <is>
          <t>Executed 13-Oct-2026 (scripted check, see Drill-down Verification)</t>
        </is>
      </c>
    </row>
    <row r="136">
      <c r="A136" s="8" t="inlineStr">
        <is>
          <t>LR-135</t>
        </is>
      </c>
      <c r="B136" s="8" t="inlineStr">
        <is>
          <t>Salesperson Scorecard</t>
        </is>
      </c>
      <c r="C136" s="8" t="inlineStr">
        <is>
          <t>Count links</t>
        </is>
      </c>
      <c r="D136" s="8" t="inlineStr">
        <is>
          <t>"Idle &gt; 30 d" count opens that salesperson's leads</t>
        </is>
      </c>
      <c r="E136" s="8" t="inlineStr">
        <is>
          <t>Logged in as CRM Administrator; Lead Reports open (https://qa-crm.asquareab.com/reports/leads); Salesperson Scorecard tab selected</t>
        </is>
      </c>
      <c r="F136" s="8" t="inlineStr">
        <is>
          <t>1. Click CRM Administrator's Idle &gt; 30 d value</t>
        </is>
      </c>
      <c r="G136" s="8" t="inlineStr"/>
      <c r="H136" s="8" t="inlineStr">
        <is>
          <t>Drill-down for that salesperson with the same number of leads</t>
        </is>
      </c>
      <c r="I136" s="8" t="inlineStr">
        <is>
          <t>CRM Administrator: Clicked 341 = header 341 = 341 rows; export 341 rows; no duplicates (verification #151). All 2 "Idle &gt; 30 d" links (every salesperson) consistent; rows belong to that salesperson</t>
        </is>
      </c>
      <c r="J136" s="8" t="inlineStr">
        <is>
          <t>Functional</t>
        </is>
      </c>
      <c r="K136" s="10" t="inlineStr">
        <is>
          <t>Medium</t>
        </is>
      </c>
      <c r="L136" s="15" t="inlineStr">
        <is>
          <t>Pass</t>
        </is>
      </c>
      <c r="M136" s="8" t="inlineStr">
        <is>
          <t>Executed 13-Oct-2026 (scripted check, see Drill-down Verification)</t>
        </is>
      </c>
    </row>
    <row r="137">
      <c r="A137" s="8" t="inlineStr">
        <is>
          <t>LR-136</t>
        </is>
      </c>
      <c r="B137" s="8" t="inlineStr">
        <is>
          <t>Salesperson Scorecard</t>
        </is>
      </c>
      <c r="C137" s="8" t="inlineStr">
        <is>
          <t>Count links</t>
        </is>
      </c>
      <c r="D137" s="8" t="inlineStr">
        <is>
          <t>"Never Contacted" count opens that salesperson's leads</t>
        </is>
      </c>
      <c r="E137" s="8" t="inlineStr">
        <is>
          <t>Logged in as CRM Administrator; Lead Reports open (https://qa-crm.asquareab.com/reports/leads); Salesperson Scorecard tab selected</t>
        </is>
      </c>
      <c r="F137" s="8" t="inlineStr">
        <is>
          <t>1. Click CRM Administrator's Never Contacted value</t>
        </is>
      </c>
      <c r="G137" s="8" t="inlineStr"/>
      <c r="H137" s="8" t="inlineStr">
        <is>
          <t>Drill-down for that salesperson with the same number of leads</t>
        </is>
      </c>
      <c r="I137" s="8" t="inlineStr">
        <is>
          <t>CRM Administrator: Clicked 157 = header 157 = 157 rows; export 157 rows; no duplicates (verification #152). All 4 "Never Contacted" links (every salesperson) consistent; rows belong to that salesperson</t>
        </is>
      </c>
      <c r="J137" s="8" t="inlineStr">
        <is>
          <t>Functional</t>
        </is>
      </c>
      <c r="K137" s="10" t="inlineStr">
        <is>
          <t>Medium</t>
        </is>
      </c>
      <c r="L137" s="15" t="inlineStr">
        <is>
          <t>Pass</t>
        </is>
      </c>
      <c r="M137" s="8" t="inlineStr">
        <is>
          <t>Executed 13-Oct-2026 (scripted check, see Drill-down Verification)</t>
        </is>
      </c>
    </row>
    <row r="138">
      <c r="A138" s="8" t="inlineStr">
        <is>
          <t>LR-137</t>
        </is>
      </c>
      <c r="B138" s="8" t="inlineStr">
        <is>
          <t>Salesperson Scorecard</t>
        </is>
      </c>
      <c r="C138" s="8" t="inlineStr">
        <is>
          <t>Table</t>
        </is>
      </c>
      <c r="D138" s="8" t="inlineStr">
        <is>
          <t>Activity columns follow the period</t>
        </is>
      </c>
      <c r="E138" s="8" t="inlineStr">
        <is>
          <t>Logged in as CRM Administrator; Lead Reports open (https://qa-crm.asquareab.com/reports/leads); Salesperson Scorecard tab selected</t>
        </is>
      </c>
      <c r="F138" s="8" t="inlineStr">
        <is>
          <t>1. Note Calls / Meetings / Tasks Done
2. Change period</t>
        </is>
      </c>
      <c r="G138" s="8" t="inlineStr"/>
      <c r="H138" s="8" t="inlineStr">
        <is>
          <t>Activity counts change with the period; Open Now / Idle / Never Contacted do not</t>
        </is>
      </c>
      <c r="I138" s="8" t="inlineStr">
        <is>
          <t>To verify</t>
        </is>
      </c>
      <c r="J138" s="8" t="inlineStr">
        <is>
          <t>Functional</t>
        </is>
      </c>
      <c r="K138" s="10" t="inlineStr">
        <is>
          <t>Medium</t>
        </is>
      </c>
      <c r="L138" s="8" t="inlineStr">
        <is>
          <t>Not Started</t>
        </is>
      </c>
      <c r="M138" s="8" t="inlineStr"/>
    </row>
    <row r="139">
      <c r="A139" s="8" t="inlineStr">
        <is>
          <t>LR-138</t>
        </is>
      </c>
      <c r="B139" s="8" t="inlineStr">
        <is>
          <t>Salesperson Scorecard</t>
        </is>
      </c>
      <c r="C139" s="8" t="inlineStr">
        <is>
          <t>Export</t>
        </is>
      </c>
      <c r="D139" s="8" t="inlineStr">
        <is>
          <t>Scorecard export</t>
        </is>
      </c>
      <c r="E139" s="8" t="inlineStr">
        <is>
          <t>Logged in as CRM Administrator; Lead Reports open (https://qa-crm.asquareab.com/reports/leads); Salesperson Scorecard tab selected</t>
        </is>
      </c>
      <c r="F139" s="8" t="inlineStr">
        <is>
          <t>1. Click Export</t>
        </is>
      </c>
      <c r="G139" s="8" t="inlineStr"/>
      <c r="H139" s="8" t="inlineStr">
        <is>
          <t>lead-report-scorecard-&lt;date&gt;.xlsx with one row per salesperson and the same figures</t>
        </is>
      </c>
      <c r="I139" s="12" t="inlineStr">
        <is>
          <t>9 rows; also includes Reserved, Lost, Overdue Follow-ups not shown on screen (OBS-08)</t>
        </is>
      </c>
      <c r="J139" s="8" t="inlineStr">
        <is>
          <t>Functional</t>
        </is>
      </c>
      <c r="K139" s="10" t="inlineStr">
        <is>
          <t>Medium</t>
        </is>
      </c>
      <c r="L139" s="8" t="inlineStr">
        <is>
          <t>Not Started</t>
        </is>
      </c>
      <c r="M139" s="8" t="inlineStr"/>
    </row>
    <row r="140">
      <c r="A140" s="8" t="inlineStr">
        <is>
          <t>LR-139</t>
        </is>
      </c>
      <c r="B140" s="8" t="inlineStr">
        <is>
          <t>Cross-page &amp; non-functional</t>
        </is>
      </c>
      <c r="C140" s="8" t="inlineStr">
        <is>
          <t>Consistency</t>
        </is>
      </c>
      <c r="D140" s="8" t="inlineStr">
        <is>
          <t>Open Leads Now equals hub Active Leads</t>
        </is>
      </c>
      <c r="E140" s="8" t="inlineStr">
        <is>
          <t>Logged in as CRM Administrator; Lead Reports open (https://qa-crm.asquareab.com/reports/leads)</t>
        </is>
      </c>
      <c r="F140" s="8" t="inlineStr">
        <is>
          <t>1. Read Open Leads Now
2. Read Active Leads on the hub</t>
        </is>
      </c>
      <c r="G140" s="8" t="inlineStr"/>
      <c r="H140" s="8" t="inlineStr">
        <is>
          <t>Equal</t>
        </is>
      </c>
      <c r="I140" s="8" t="inlineStr">
        <is>
          <t>364 = 364</t>
        </is>
      </c>
      <c r="J140" s="8" t="inlineStr">
        <is>
          <t>Data</t>
        </is>
      </c>
      <c r="K140" s="9" t="inlineStr">
        <is>
          <t>High</t>
        </is>
      </c>
      <c r="L140" s="8" t="inlineStr">
        <is>
          <t>Not Started</t>
        </is>
      </c>
      <c r="M140" s="8" t="inlineStr"/>
    </row>
    <row r="141">
      <c r="A141" s="8" t="inlineStr">
        <is>
          <t>LR-140</t>
        </is>
      </c>
      <c r="B141" s="8" t="inlineStr">
        <is>
          <t>Cross-page &amp; non-functional</t>
        </is>
      </c>
      <c r="C141" s="8" t="inlineStr">
        <is>
          <t>Consistency</t>
        </is>
      </c>
      <c r="D141" s="8" t="inlineStr">
        <is>
          <t>SPA Signed and Won Value match SPA and Sales Reports</t>
        </is>
      </c>
      <c r="E141" s="8" t="inlineStr">
        <is>
          <t>Logged in as CRM Administrator; Lead Reports open (https://qa-crm.asquareab.com/reports/leads)</t>
        </is>
      </c>
      <c r="F141" s="8" t="inlineStr">
        <is>
          <t>1. Same period on Lead Reports, SPA Reports and Sales Reports</t>
        </is>
      </c>
      <c r="G141" s="8" t="inlineStr"/>
      <c r="H141" s="8" t="inlineStr">
        <is>
          <t>SPA Signed = SPAs signed in period; Won Value = Sales "Won value"</t>
        </is>
      </c>
      <c r="I141" s="8" t="inlineStr">
        <is>
          <t>Covered by automated tests X-09 / X-16</t>
        </is>
      </c>
      <c r="J141" s="8" t="inlineStr">
        <is>
          <t>Data</t>
        </is>
      </c>
      <c r="K141" s="9" t="inlineStr">
        <is>
          <t>High</t>
        </is>
      </c>
      <c r="L141" s="8" t="inlineStr">
        <is>
          <t>Not Started</t>
        </is>
      </c>
      <c r="M141" s="8" t="inlineStr"/>
    </row>
    <row r="142">
      <c r="A142" s="8" t="inlineStr">
        <is>
          <t>LR-141</t>
        </is>
      </c>
      <c r="B142" s="8" t="inlineStr">
        <is>
          <t>Cross-page &amp; non-functional</t>
        </is>
      </c>
      <c r="C142" s="8" t="inlineStr">
        <is>
          <t>Responsive</t>
        </is>
      </c>
      <c r="D142" s="8" t="inlineStr">
        <is>
          <t>Usable on tablet and phone</t>
        </is>
      </c>
      <c r="E142" s="8" t="inlineStr">
        <is>
          <t>Logged in as CRM Administrator; Lead Reports open (https://qa-crm.asquareab.com/reports/leads)</t>
        </is>
      </c>
      <c r="F142" s="8" t="inlineStr">
        <is>
          <t>1. Open at 768 px and 390 px wide</t>
        </is>
      </c>
      <c r="G142" s="8" t="inlineStr"/>
      <c r="H142" s="8" t="inlineStr">
        <is>
          <t>Filters wrap, tabs and buttons usable, tables scroll inside their panel, no page-wide horizontal scroll</t>
        </is>
      </c>
      <c r="I142" s="8" t="inlineStr">
        <is>
          <t>To verify</t>
        </is>
      </c>
      <c r="J142" s="8" t="inlineStr">
        <is>
          <t>UI</t>
        </is>
      </c>
      <c r="K142" s="10" t="inlineStr">
        <is>
          <t>Medium</t>
        </is>
      </c>
      <c r="L142" s="8" t="inlineStr">
        <is>
          <t>Not Started</t>
        </is>
      </c>
      <c r="M142" s="8" t="inlineStr"/>
    </row>
    <row r="143">
      <c r="A143" s="8" t="inlineStr">
        <is>
          <t>LR-142</t>
        </is>
      </c>
      <c r="B143" s="8" t="inlineStr">
        <is>
          <t>Cross-page &amp; non-functional</t>
        </is>
      </c>
      <c r="C143" s="8" t="inlineStr">
        <is>
          <t>Accessibility</t>
        </is>
      </c>
      <c r="D143" s="8" t="inlineStr">
        <is>
          <t>Keyboard access to counts and tabs</t>
        </is>
      </c>
      <c r="E143" s="8" t="inlineStr">
        <is>
          <t>Logged in as CRM Administrator; Lead Reports open (https://qa-crm.asquareab.com/reports/leads)</t>
        </is>
      </c>
      <c r="F143" s="8" t="inlineStr">
        <is>
          <t>1. Use Tab / Enter only</t>
        </is>
      </c>
      <c r="G143" s="8" t="inlineStr"/>
      <c r="H143" s="8" t="inlineStr">
        <is>
          <t>Tabs, filters, count links, Export and Close are reachable and work with Enter; focus is visible</t>
        </is>
      </c>
      <c r="I143" s="8" t="inlineStr">
        <is>
          <t>To verify</t>
        </is>
      </c>
      <c r="J143" s="8" t="inlineStr">
        <is>
          <t>Accessibility</t>
        </is>
      </c>
      <c r="K143" s="10" t="inlineStr">
        <is>
          <t>Medium</t>
        </is>
      </c>
      <c r="L143" s="8" t="inlineStr">
        <is>
          <t>Not Started</t>
        </is>
      </c>
      <c r="M143" s="8" t="inlineStr"/>
    </row>
    <row r="144">
      <c r="A144" s="8" t="inlineStr">
        <is>
          <t>LR-143</t>
        </is>
      </c>
      <c r="B144" s="8" t="inlineStr">
        <is>
          <t>Cross-page &amp; non-functional</t>
        </is>
      </c>
      <c r="C144" s="8" t="inlineStr">
        <is>
          <t>Performance</t>
        </is>
      </c>
      <c r="D144" s="8" t="inlineStr">
        <is>
          <t>Report and drill-downs load quickly</t>
        </is>
      </c>
      <c r="E144" s="8" t="inlineStr">
        <is>
          <t>Logged in as CRM Administrator; Lead Reports open (https://qa-crm.asquareab.com/reports/leads)</t>
        </is>
      </c>
      <c r="F144" s="8" t="inlineStr">
        <is>
          <t>1. Open Lead Reports
2. Open the 500-row drill-down</t>
        </is>
      </c>
      <c r="G144" s="8" t="inlineStr"/>
      <c r="H144" s="8" t="inlineStr">
        <is>
          <t>Overview loads within 5 s; drill-down within 5 s</t>
        </is>
      </c>
      <c r="I144" s="8" t="inlineStr">
        <is>
          <t>To verify</t>
        </is>
      </c>
      <c r="J144" s="8" t="inlineStr">
        <is>
          <t>Non-functional</t>
        </is>
      </c>
      <c r="K144" s="10" t="inlineStr">
        <is>
          <t>Medium</t>
        </is>
      </c>
      <c r="L144" s="8" t="inlineStr">
        <is>
          <t>Not Started</t>
        </is>
      </c>
      <c r="M144" s="8" t="inlineStr"/>
    </row>
    <row r="145">
      <c r="A145" s="8" t="inlineStr">
        <is>
          <t>LR-144</t>
        </is>
      </c>
      <c r="B145" s="8" t="inlineStr">
        <is>
          <t>Cross-page &amp; non-functional</t>
        </is>
      </c>
      <c r="C145" s="8" t="inlineStr">
        <is>
          <t>Error handling</t>
        </is>
      </c>
      <c r="D145" s="8" t="inlineStr">
        <is>
          <t>API failure shows a message</t>
        </is>
      </c>
      <c r="E145" s="8" t="inlineStr">
        <is>
          <t>Logged in as CRM Administrator; Lead Reports open (https://qa-crm.asquareab.com/reports/leads)</t>
        </is>
      </c>
      <c r="F145" s="8" t="inlineStr">
        <is>
          <t>1. Simulate a failing /reports/leads/overview call</t>
        </is>
      </c>
      <c r="G145" s="8" t="inlineStr"/>
      <c r="H145" s="8" t="inlineStr">
        <is>
          <t>A clear error message after retries; no endless "Loading", no NaN</t>
        </is>
      </c>
      <c r="I145" s="8" t="inlineStr">
        <is>
          <t>Pattern seen on Sales Reports: message after ~7 s</t>
        </is>
      </c>
      <c r="J145" s="8" t="inlineStr">
        <is>
          <t>Negative</t>
        </is>
      </c>
      <c r="K145" s="10" t="inlineStr">
        <is>
          <t>Medium</t>
        </is>
      </c>
      <c r="L145" s="8" t="inlineStr">
        <is>
          <t>Not Started</t>
        </is>
      </c>
      <c r="M145" s="8" t="inlineStr"/>
    </row>
    <row r="146">
      <c r="A146" s="8" t="inlineStr">
        <is>
          <t>LR-145</t>
        </is>
      </c>
      <c r="B146" s="8" t="inlineStr">
        <is>
          <t>Drill-down list</t>
        </is>
      </c>
      <c r="C146" s="8" t="inlineStr">
        <is>
          <t>Count links</t>
        </is>
      </c>
      <c r="D146" s="8" t="inlineStr">
        <is>
          <t>Zero counts are not links</t>
        </is>
      </c>
      <c r="E146" s="8" t="inlineStr">
        <is>
          <t>Logged in as CRM Administrator; Lead Reports open (https://qa-crm.asquareab.com/reports/leads)</t>
        </is>
      </c>
      <c r="F146" s="8" t="inlineStr">
        <is>
          <t>1. Find a count of 0 in any table (e.g. Digital Marketing › Lost)
2. Try to click it</t>
        </is>
      </c>
      <c r="G146" s="8" t="inlineStr"/>
      <c r="H146" s="8" t="inlineStr">
        <is>
          <t>Zero counts are shown as plain text and open nothing</t>
        </is>
      </c>
      <c r="I146" s="8" t="inlineStr">
        <is>
          <t>As expected (Digital Marketing › Lost = 0 is plain text)</t>
        </is>
      </c>
      <c r="J146" s="8" t="inlineStr">
        <is>
          <t>UI</t>
        </is>
      </c>
      <c r="K146" s="11" t="inlineStr">
        <is>
          <t>Low</t>
        </is>
      </c>
      <c r="L146" s="15" t="inlineStr">
        <is>
          <t>Pass</t>
        </is>
      </c>
      <c r="M146" s="8" t="inlineStr">
        <is>
          <t>Executed 13-Oct-2026</t>
        </is>
      </c>
    </row>
    <row r="147">
      <c r="A147" s="8" t="inlineStr">
        <is>
          <t>LR-146</t>
        </is>
      </c>
      <c r="B147" s="8" t="inlineStr">
        <is>
          <t>Drill-down list</t>
        </is>
      </c>
      <c r="C147" s="8" t="inlineStr">
        <is>
          <t>Count links</t>
        </is>
      </c>
      <c r="D147" s="8" t="inlineStr">
        <is>
          <t>Every count link agrees with its list and export</t>
        </is>
      </c>
      <c r="E147" s="8" t="inlineStr">
        <is>
          <t>Logged in as CRM Administrator; Lead Reports open (https://qa-crm.asquareab.com/reports/leads)</t>
        </is>
      </c>
      <c r="F147" s="8" t="inlineStr">
        <is>
          <t>1. On every tab, click each count link in turn
2. For each: compare the number clicked, the "N leads" header, the rows listed and the rows in the list's Export
3. Check no lead is listed twice and every row fits the bucket / clicked row</t>
        </is>
      </c>
      <c r="G147" s="8" t="inlineStr">
        <is>
          <t>Last 12 months, all filters default</t>
        </is>
      </c>
      <c r="H147" s="8" t="inlineStr">
        <is>
          <t>Clicked = header = rows listed (500 + note above 500) = export rows; no duplicates; rows fit the bucket and the clicked row</t>
        </is>
      </c>
      <c r="I147" s="8" t="inlineStr">
        <is>
          <t>179 links checked (Overview, Source &amp; Channel all 8 groupings, Aging, Lost Reasons, Scorecard, filtered list): all consistent</t>
        </is>
      </c>
      <c r="J147" s="8" t="inlineStr">
        <is>
          <t>Data</t>
        </is>
      </c>
      <c r="K147" s="9" t="inlineStr">
        <is>
          <t>High</t>
        </is>
      </c>
      <c r="L147" s="15" t="inlineStr">
        <is>
          <t>Pass</t>
        </is>
      </c>
      <c r="M147" s="8" t="inlineStr">
        <is>
          <t>Executed 13-Oct-2026; full list on Drill-down Verification</t>
        </is>
      </c>
    </row>
    <row r="148">
      <c r="A148" s="8" t="inlineStr">
        <is>
          <t>LR-147</t>
        </is>
      </c>
      <c r="B148" s="8" t="inlineStr">
        <is>
          <t>Filters</t>
        </is>
      </c>
      <c r="C148" s="8" t="inlineStr">
        <is>
          <t>Filters</t>
        </is>
      </c>
      <c r="D148" s="8" t="inlineStr">
        <is>
          <t>Verify All filters together return only records matching every selected filter</t>
        </is>
      </c>
      <c r="E148" s="8" t="inlineStr">
        <is>
          <t>Logged in as CRM Administrator; Lead Reports open (https://qa-crm.asquareab.com/reports/leads)</t>
        </is>
      </c>
      <c r="F148" s="8" t="inlineStr">
        <is>
          <t>1. Period = Last 12 months
2. For each filter in turn (Lead Source, Capture Channel, Campaign, Broker, Salesperson, Project, Nationality, Prospect Type): open Source &amp; Channel › Performance by &lt;that field&gt; and pick a value that still has leads under the filters already applied
3. Apply it in the header filter
4. After each filter, read Leads Captured</t>
        </is>
      </c>
      <c r="G148" s="8" t="inlineStr">
        <is>
          <t>Last 12 months; filter values are picked from the page at run time</t>
        </is>
      </c>
      <c r="H148" s="8" t="inlineStr">
        <is>
          <t>After each filter Leads Captured equals the picked row's Leads and never goes up; a field with no remaining value stays at "All"; the final count is the leads matching every selected filter</t>
        </is>
      </c>
      <c r="I148" s="8" t="inlineStr">
        <is>
          <t>All 613 → Lead Source Digital Marketing 18 → Capture Channel Google Ads 5 → Campaign Palm Exotica Campaign 2026-01 2 → Salesperson CRM Administrator 2 → Nationality Australia 1 (Broker, Project, Prospect Type had no value left); list = export = 1 lead, matching Source, Channel and Salesperson</t>
        </is>
      </c>
      <c r="J148" s="8" t="inlineStr">
        <is>
          <t>Functional</t>
        </is>
      </c>
      <c r="K148" s="9" t="inlineStr">
        <is>
          <t>High</t>
        </is>
      </c>
      <c r="L148" s="15" t="inlineStr">
        <is>
          <t>Pass</t>
        </is>
      </c>
      <c r="M148" s="8" t="inlineStr">
        <is>
          <t>Executed 15-Oct-2026 (automated: tests/lead-reports/filter-combinations.spec.ts)</t>
        </is>
      </c>
    </row>
    <row r="149">
      <c r="A149" s="8" t="inlineStr">
        <is>
          <t>LR-148</t>
        </is>
      </c>
      <c r="B149" s="8" t="inlineStr">
        <is>
          <t>Filters</t>
        </is>
      </c>
      <c r="C149" s="8" t="inlineStr">
        <is>
          <t>Filters</t>
        </is>
      </c>
      <c r="D149" s="8" t="inlineStr">
        <is>
          <t>Verify changing one filter recalculates all KPI cards and report tables</t>
        </is>
      </c>
      <c r="E149" s="8" t="inlineStr">
        <is>
          <t>Logged in as CRM Administrator; Lead Reports open (https://qa-crm.asquareab.com/reports/leads)</t>
        </is>
      </c>
      <c r="F149" s="8" t="inlineStr">
        <is>
          <t>1. Period = Last 12 months; note every KPI card
2. Set Lead Source to a source that has some, but not all, leads
3. Check every KPI card, the Lead Funnel, the Source &amp; Channel Total and the Salesperson Scorecard</t>
        </is>
      </c>
      <c r="G149" s="8" t="inlineStr">
        <is>
          <t>Last 12 months; filter values are picked from the page at run time</t>
        </is>
      </c>
      <c r="H149" s="8" t="inlineStr">
        <is>
          <t>Leads Captured = that source's row; every count card is ≤ its unfiltered value; Contact / Qualification / Opportunity rates = funnel step ÷ Leads Captured; funnel Captured, Source &amp; Channel Total and Scorecard Leads all equal the new Leads Captured</t>
        </is>
      </c>
      <c r="I149" s="8" t="inlineStr">
        <is>
          <t>Lead Source = Digital Marketing: Leads Captured 613 → 18; Contact 52.7% → 77.8%, Qualification 40.9% → 77.8%, Opportunity 20.1% → 66.7% (= subtitle counts ÷ 18); SPA Signed 78 → 7; Open Leads Now 362 → 6; funnel, Source &amp; Channel Total and Scorecard Leads = 18</t>
        </is>
      </c>
      <c r="J149" s="8" t="inlineStr">
        <is>
          <t>Functional</t>
        </is>
      </c>
      <c r="K149" s="9" t="inlineStr">
        <is>
          <t>High</t>
        </is>
      </c>
      <c r="L149" s="15" t="inlineStr">
        <is>
          <t>Pass</t>
        </is>
      </c>
      <c r="M149" s="8" t="inlineStr">
        <is>
          <t>Executed 15-Oct-2026 (automated: tests/lead-reports/filter-combinations.spec.ts)</t>
        </is>
      </c>
    </row>
    <row r="150">
      <c r="A150" s="8" t="inlineStr">
        <is>
          <t>LR-149</t>
        </is>
      </c>
      <c r="B150" s="8" t="inlineStr">
        <is>
          <t>Filters</t>
        </is>
      </c>
      <c r="C150" s="8" t="inlineStr">
        <is>
          <t>Filters</t>
        </is>
      </c>
      <c r="D150" s="8" t="inlineStr">
        <is>
          <t>Verify clearing one selected filter restores only that filter's data while retaining other filters</t>
        </is>
      </c>
      <c r="E150" s="8" t="inlineStr">
        <is>
          <t>Logged in as CRM Administrator; Lead Reports open (https://qa-crm.asquareab.com/reports/leads)</t>
        </is>
      </c>
      <c r="F150" s="8" t="inlineStr">
        <is>
          <t>1. Period = Last 12 months; note Leads Captured for Lead Source = A alone and for Project = P alone
2. Apply Lead Source = A and Project = P
3. Set Project back to "All projects"
4. Set Project = P again, then Lead Source back to "All sources"</t>
        </is>
      </c>
      <c r="G150" s="8" t="inlineStr">
        <is>
          <t>Last 12 months; filter values are picked from the page at run time</t>
        </is>
      </c>
      <c r="H150" s="8" t="inlineStr">
        <is>
          <t>After step 3 Lead Source is still A and Leads Captured = A alone; after step 4 Project is still P and Leads Captured = P alone</t>
        </is>
      </c>
      <c r="I150" s="8" t="inlineStr">
        <is>
          <t>Digital Marketing alone 18, Palm Exotjca Limited alone 555, both 1; clearing Project → 18 with Lead Source kept; clearing Lead Source → 555 with Project kept</t>
        </is>
      </c>
      <c r="J150" s="8" t="inlineStr">
        <is>
          <t>Functional</t>
        </is>
      </c>
      <c r="K150" s="9" t="inlineStr">
        <is>
          <t>High</t>
        </is>
      </c>
      <c r="L150" s="15" t="inlineStr">
        <is>
          <t>Pass</t>
        </is>
      </c>
      <c r="M150" s="8" t="inlineStr">
        <is>
          <t>Executed 15-Oct-2026 (automated: tests/lead-reports/filter-combinations.spec.ts)</t>
        </is>
      </c>
    </row>
    <row r="151">
      <c r="A151" s="8" t="inlineStr">
        <is>
          <t>LR-150</t>
        </is>
      </c>
      <c r="B151" s="8" t="inlineStr">
        <is>
          <t>Filters</t>
        </is>
      </c>
      <c r="C151" s="8" t="inlineStr">
        <is>
          <t>Filters</t>
        </is>
      </c>
      <c r="D151" s="8" t="inlineStr">
        <is>
          <t>Verify selecting All for every filter returns the unfiltered report totals</t>
        </is>
      </c>
      <c r="E151" s="8" t="inlineStr">
        <is>
          <t>Logged in as CRM Administrator; Lead Reports open (https://qa-crm.asquareab.com/reports/leads)</t>
        </is>
      </c>
      <c r="F151" s="8" t="inlineStr">
        <is>
          <t>1. Period = Last 12 months; note every KPI card and the funnel
2. Apply Lead Source and Project
3. Set each of the 8 filters to its "All …" option one by one (not Reset filters)</t>
        </is>
      </c>
      <c r="G151" s="8" t="inlineStr">
        <is>
          <t>Last 12 months; filter values are picked from the page at run time</t>
        </is>
      </c>
      <c r="H151" s="8" t="inlineStr">
        <is>
          <t>Every filter shows "All …"; every KPI card and every funnel step equal step 1</t>
        </is>
      </c>
      <c r="I151" s="8" t="inlineStr">
        <is>
          <t>Digital Marketing + Palm Exotjca Limited (1 lead), then each filter set back to All: all 8 KPI cards and every funnel step equal the unfiltered values</t>
        </is>
      </c>
      <c r="J151" s="8" t="inlineStr">
        <is>
          <t>Functional</t>
        </is>
      </c>
      <c r="K151" s="9" t="inlineStr">
        <is>
          <t>High</t>
        </is>
      </c>
      <c r="L151" s="15" t="inlineStr">
        <is>
          <t>Pass</t>
        </is>
      </c>
      <c r="M151" s="8" t="inlineStr">
        <is>
          <t>Executed 15-Oct-2026 (automated: tests/lead-reports/filter-combinations.spec.ts)</t>
        </is>
      </c>
    </row>
    <row r="152">
      <c r="A152" s="8" t="inlineStr">
        <is>
          <t>LR-151</t>
        </is>
      </c>
      <c r="B152" s="8" t="inlineStr">
        <is>
          <t>Filters</t>
        </is>
      </c>
      <c r="C152" s="8" t="inlineStr">
        <is>
          <t>Filters</t>
        </is>
      </c>
      <c r="D152" s="8" t="inlineStr">
        <is>
          <t>Verify filter results contain no records outside the selected filter criteria</t>
        </is>
      </c>
      <c r="E152" s="8" t="inlineStr">
        <is>
          <t>Logged in as CRM Administrator; Lead Reports open (https://qa-crm.asquareab.com/reports/leads)</t>
        </is>
      </c>
      <c r="F152" s="8" t="inlineStr">
        <is>
          <t>1. Period = Last 12 months
2. Apply Lead Source, Capture Channel, Salesperson and Project values that still have leads together
3. Click the Leads Captured count and Export the list</t>
        </is>
      </c>
      <c r="G152" s="8" t="inlineStr">
        <is>
          <t>Last 12 months; filter values are picked from the page at run time</t>
        </is>
      </c>
      <c r="H152" s="8" t="inlineStr">
        <is>
          <t>Every listed and exported lead has the selected Source, Channel, Salesperson and Project; list count = export rows = Leads Captured</t>
        </is>
      </c>
      <c r="I152" s="8" t="inlineStr">
        <is>
          <t>Digital Marketing + Google Ads + CRM Administrator + Palm Exotjca Limited: 1 lead; list 1 = export 1; Source, Channel, Salesperson and Project all match (the export shows the project by its code, PEX-WATAMU)</t>
        </is>
      </c>
      <c r="J152" s="8" t="inlineStr">
        <is>
          <t>Data</t>
        </is>
      </c>
      <c r="K152" s="9" t="inlineStr">
        <is>
          <t>High</t>
        </is>
      </c>
      <c r="L152" s="15" t="inlineStr">
        <is>
          <t>Pass</t>
        </is>
      </c>
      <c r="M152" s="8" t="inlineStr">
        <is>
          <t>Executed 15-Oct-2026 (automated: tests/lead-reports/filter-combinations.spec.ts)</t>
        </is>
      </c>
    </row>
    <row r="153">
      <c r="A153" s="8" t="inlineStr">
        <is>
          <t>LR-152</t>
        </is>
      </c>
      <c r="B153" s="8" t="inlineStr">
        <is>
          <t>Filters</t>
        </is>
      </c>
      <c r="C153" s="8" t="inlineStr">
        <is>
          <t>Filters</t>
        </is>
      </c>
      <c r="D153" s="8" t="inlineStr">
        <is>
          <t>Verify filters work correctly when the selected combination returns exactly one lead</t>
        </is>
      </c>
      <c r="E153" s="8" t="inlineStr">
        <is>
          <t>Logged in as CRM Administrator; Lead Reports open (https://qa-crm.asquareab.com/reports/leads)</t>
        </is>
      </c>
      <c r="F153" s="8" t="inlineStr">
        <is>
          <t>1. Period = Last 12 months
2. On Source &amp; Channel find a filter value whose row shows exactly 1 lead and apply it
3. Check the cards, funnel, Source &amp; Channel, Scorecard and the Leads Captured list</t>
        </is>
      </c>
      <c r="G153" s="8" t="inlineStr">
        <is>
          <t>Last 12 months; filter values are picked from the page at run time</t>
        </is>
      </c>
      <c r="H153" s="8" t="inlineStr">
        <is>
          <t>Leads Captured = 1 = funnel Captured = Source &amp; Channel Total = Scorecard Leads total; rates are only 0% or 100%; the list shows 1 lead and its export 1 row; no NaN / errors</t>
        </is>
      </c>
      <c r="I153" s="8" t="inlineStr">
        <is>
          <t>Lead Source = Events &amp; Exhibitions: Leads Captured 1; every funnel step ≤ 1; rates 0% / 100%; list and export 1 row; Source &amp; Channel and Scorecard totals 1; Avg Time to First Contact shows — (lead not contacted)</t>
        </is>
      </c>
      <c r="J153" s="8" t="inlineStr">
        <is>
          <t>Functional</t>
        </is>
      </c>
      <c r="K153" s="9" t="inlineStr">
        <is>
          <t>Medium</t>
        </is>
      </c>
      <c r="L153" s="15" t="inlineStr">
        <is>
          <t>Pass</t>
        </is>
      </c>
      <c r="M153" s="8" t="inlineStr">
        <is>
          <t>Executed 15-Oct-2026 (automated: tests/lead-reports/filter-combinations.spec.ts)</t>
        </is>
      </c>
    </row>
    <row r="154">
      <c r="A154" s="8" t="inlineStr">
        <is>
          <t>LR-153</t>
        </is>
      </c>
      <c r="B154" s="8" t="inlineStr">
        <is>
          <t>Filters</t>
        </is>
      </c>
      <c r="C154" s="8" t="inlineStr">
        <is>
          <t>Filters</t>
        </is>
      </c>
      <c r="D154" s="8" t="inlineStr">
        <is>
          <t>Verify filters work correctly when no records match the selected combination</t>
        </is>
      </c>
      <c r="E154" s="8" t="inlineStr">
        <is>
          <t>Logged in as CRM Administrator; Lead Reports open (https://qa-crm.asquareab.com/reports/leads)</t>
        </is>
      </c>
      <c r="F154" s="8" t="inlineStr">
        <is>
          <t>1. Period = Last 12 months; apply Lead Source = A
2. On Source &amp; Channel find a value of another field with no leads from A and apply it
3. Check every tab</t>
        </is>
      </c>
      <c r="G154" s="8" t="inlineStr">
        <is>
          <t>Last 12 months; filter values are picked from the page at run time</t>
        </is>
      </c>
      <c r="H154" s="8" t="inlineStr">
        <is>
          <t>Leads Captured, SPA Signed, Won Value and every funnel step are 0; rates show "—" or 0%; zero counts are not links; no NaN / undefined / error message; tables show no data rows</t>
        </is>
      </c>
      <c r="I154" s="8" t="inlineStr">
        <is>
          <t>Lead Source = Referrals + Capture Channel = Bank Referral: Leads Captured, SPA Signed, Won Value and funnel all 0; rates — / 0%; no zero-count links; no NaN or error message on any tab</t>
        </is>
      </c>
      <c r="J154" s="8" t="inlineStr">
        <is>
          <t>Negative</t>
        </is>
      </c>
      <c r="K154" s="9" t="inlineStr">
        <is>
          <t>High</t>
        </is>
      </c>
      <c r="L154" s="15" t="inlineStr">
        <is>
          <t>Pass</t>
        </is>
      </c>
      <c r="M154" s="8" t="inlineStr">
        <is>
          <t>Executed 15-Oct-2026 (automated: tests/lead-reports/filter-combinations.spec.ts)</t>
        </is>
      </c>
    </row>
    <row r="155">
      <c r="A155" s="8" t="inlineStr">
        <is>
          <t>LR-154</t>
        </is>
      </c>
      <c r="B155" s="8" t="inlineStr">
        <is>
          <t>Filters</t>
        </is>
      </c>
      <c r="C155" s="8" t="inlineStr">
        <is>
          <t>Filters</t>
        </is>
      </c>
      <c r="D155" s="8" t="inlineStr">
        <is>
          <t>Verify filter values containing NULL/blank/Unspecified records are handled correctly</t>
        </is>
      </c>
      <c r="E155" s="8" t="inlineStr">
        <is>
          <t>Logged in as CRM Administrator; Lead Reports open (https://qa-crm.asquareab.com/reports/leads)</t>
        </is>
      </c>
      <c r="F155" s="8" t="inlineStr">
        <is>
          <t>1. Period = Last 12 months
2. For each field on Source &amp; Channel note the Unspecified / Unassigned row and check that field's dropdown
3. Apply each Lead Source option in turn and add up Leads Captured
4. Open the list for one source</t>
        </is>
      </c>
      <c r="G155" s="8" t="inlineStr">
        <is>
          <t>Last 12 months; filter values are picked from the page at run time</t>
        </is>
      </c>
      <c r="H155" s="8" t="inlineStr">
        <is>
          <t>No dropdown has a blank, "null" or "undefined" option; named rows + Unspecified = Total for every field; the sum over all Lead Source options = Total − Unspecified (leads without a source are never counted under a source); no listed lead has a blank Source</t>
        </is>
      </c>
      <c r="I155" s="8" t="inlineStr">
        <is>
          <t>No blank / null options in any filter; named rows + Unspecified = Total for all 8 fields; Lead Source: sum of the 8 options 41 = 613 − 572 Unspecified; Unspecified / Unassigned cannot be selected as a filter value</t>
        </is>
      </c>
      <c r="J155" s="8" t="inlineStr">
        <is>
          <t>Data</t>
        </is>
      </c>
      <c r="K155" s="9" t="inlineStr">
        <is>
          <t>High</t>
        </is>
      </c>
      <c r="L155" s="15" t="inlineStr">
        <is>
          <t>Pass</t>
        </is>
      </c>
      <c r="M155" s="8" t="inlineStr">
        <is>
          <t>Executed 15-Oct-2026 (automated: tests/lead-reports/filter-combinations.spec.ts)</t>
        </is>
      </c>
    </row>
    <row r="156">
      <c r="A156" s="8" t="inlineStr">
        <is>
          <t>LR-155</t>
        </is>
      </c>
      <c r="B156" s="8" t="inlineStr">
        <is>
          <t>Filters</t>
        </is>
      </c>
      <c r="C156" s="8" t="inlineStr">
        <is>
          <t>Filters</t>
        </is>
      </c>
      <c r="D156" s="8" t="inlineStr">
        <is>
          <t>Verify filters remain consistent when switching between report tabs</t>
        </is>
      </c>
      <c r="E156" s="8" t="inlineStr">
        <is>
          <t>Logged in as CRM Administrator; Lead Reports open (https://qa-crm.asquareab.com/reports/leads)</t>
        </is>
      </c>
      <c r="F156" s="8" t="inlineStr">
        <is>
          <t>1. Period = Last 12 months; apply Lead Source = A and Project = P; note every KPI card
2. Open each tab in turn, then return to Overview &amp; Funnel</t>
        </is>
      </c>
      <c r="G156" s="8" t="inlineStr">
        <is>
          <t>Last 12 months; filter values are picked from the page at run time</t>
        </is>
      </c>
      <c r="H156" s="8" t="inlineStr">
        <is>
          <t>Both filters stay selected on every tab; Source &amp; Channel Total = Leads Captured; Scorecard Leads = Leads Captured and Open Now = Open Leads Now; Aging Open = Open Leads Now; KPI cards are unchanged after returning to Overview</t>
        </is>
      </c>
      <c r="I156" s="8" t="inlineStr">
        <is>
          <t>Digital Marketing + Palm Exotjca Limited stayed selected on all 5 tabs; Source &amp; Channel Total = Scorecard Leads = Leads Captured 1; Scorecard Open Now = Aging Open Leads = Open Leads Now 0; KPI cards unchanged after the round trip</t>
        </is>
      </c>
      <c r="J156" s="8" t="inlineStr">
        <is>
          <t>Functional</t>
        </is>
      </c>
      <c r="K156" s="9" t="inlineStr">
        <is>
          <t>High</t>
        </is>
      </c>
      <c r="L156" s="15" t="inlineStr">
        <is>
          <t>Pass</t>
        </is>
      </c>
      <c r="M156" s="8" t="inlineStr">
        <is>
          <t>Executed 15-Oct-2026 (automated: tests/lead-reports/filter-combinations.spec.ts)</t>
        </is>
      </c>
    </row>
    <row r="157">
      <c r="A157" s="8" t="inlineStr">
        <is>
          <t>LR-156</t>
        </is>
      </c>
      <c r="B157" s="8" t="inlineStr">
        <is>
          <t>Filters</t>
        </is>
      </c>
      <c r="C157" s="8" t="inlineStr">
        <is>
          <t>Filters</t>
        </is>
      </c>
      <c r="D157" s="8" t="inlineStr">
        <is>
          <t>Verify filter values themselves are populated with the correct available master-data values</t>
        </is>
      </c>
      <c r="E157" s="8" t="inlineStr">
        <is>
          <t>Logged in as CRM Administrator; Lead Reports open (https://qa-crm.asquareab.com/reports/leads)</t>
        </is>
      </c>
      <c r="F157" s="8" t="inlineStr">
        <is>
          <t>1. Period = Last 12 months, no filters
2. For each of the 8 filters compare the dropdown with the options API (/reports/leads/options) and with Source &amp; Channel › Performance by &lt;that field&gt;</t>
        </is>
      </c>
      <c r="G157" s="8" t="inlineStr">
        <is>
          <t>Last 12 months; filter values are picked from the page at run time</t>
        </is>
      </c>
      <c r="H157" s="8" t="inlineStr">
        <is>
          <t>Dropdown = options API list in the same order; no blank or duplicate labels; every value that has leads (except Unspecified / Unassigned) can be selected</t>
        </is>
      </c>
      <c r="I157" s="8" t="inlineStr">
        <is>
          <t>Dropdowns = options API for all 8 fields. Project lists 2 projects, but 9 project codes with leads cannot be selected (**&amp;**&amp;*&amp;**, PES-EXOT, PET, PET-AEX-001, PEX, PEX_EXOT, PRJ, PRJE, PROJ) and "QA Test Project 01" has no leads; Salesperson lists "Mahalakshmi" twice (two users, same label)</t>
        </is>
      </c>
      <c r="J157" s="8" t="inlineStr">
        <is>
          <t>Data</t>
        </is>
      </c>
      <c r="K157" s="9" t="inlineStr">
        <is>
          <t>High</t>
        </is>
      </c>
      <c r="L157" s="17" t="inlineStr">
        <is>
          <t>Fail</t>
        </is>
      </c>
      <c r="M157" s="8" t="inlineStr">
        <is>
          <t>Executed 15-Oct-2026 (automated: tests/lead-reports/filter-combinations.spec.ts)</t>
        </is>
      </c>
    </row>
    <row r="158">
      <c r="A158" s="8" t="inlineStr">
        <is>
          <t>LR-157</t>
        </is>
      </c>
      <c r="B158" s="8" t="inlineStr">
        <is>
          <t>Filters</t>
        </is>
      </c>
      <c r="C158" s="8" t="inlineStr">
        <is>
          <t>Filter counts</t>
        </is>
      </c>
      <c r="D158" s="8" t="inlineStr">
        <is>
          <t>Apply each filter and verify the Overview counts equal that value's row in Performance by &lt;field&gt;</t>
        </is>
      </c>
      <c r="E158" s="8" t="inlineStr">
        <is>
          <t>Logged in as CRM Administrator; Lead Reports open (https://qa-crm.asquareab.com/reports/leads)</t>
        </is>
      </c>
      <c r="F158" s="8" t="inlineStr">
        <is>
          <t>1. On Source &amp; Channel › Performance by &lt;field&gt; note the row of the value to filter by
2. Reload, set only that filter
3. Read Leads Captured, SPA Signed, Won Value and every Lead Funnel step
4. Repeat for every filter</t>
        </is>
      </c>
      <c r="G158"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58" s="8" t="inlineStr">
        <is>
          <t>Leads Captured = row Leads; funnel Captured / Contacted / Qualified / Opportunity / Reserved / SPA Signed = the row's columns; SPA Signed card = row SPA Signed; Won Value card = row Won Value</t>
        </is>
      </c>
      <c r="I158" s="8" t="inlineStr">
        <is>
          <t>Values: Digital Marketing 18, Google Ads 5, Palm Exotica Campaign 2026-06 108, Palm Exotica Broker 1 15, CRM Administrator 597, Palm Exotjca Limited 555, India 8, Individual (Person) 41 (of 613). All 8: Leads Captured, every funnel step, SPA Signed and Won Value = the row (e.g. Digital Marketing 18 / 14 / 14 / 12 / 9 / 7, 7.7M USD)</t>
        </is>
      </c>
      <c r="J158" s="8" t="inlineStr">
        <is>
          <t>Functional</t>
        </is>
      </c>
      <c r="K158" s="9" t="inlineStr">
        <is>
          <t>High</t>
        </is>
      </c>
      <c r="L158" s="15" t="inlineStr">
        <is>
          <t>Pass</t>
        </is>
      </c>
      <c r="M158" s="8" t="inlineStr">
        <is>
          <t>Executed 15-Oct-2026 (automated: tests/lead-reports/filter-counts.spec.ts)</t>
        </is>
      </c>
    </row>
    <row r="159">
      <c r="A159" s="8" t="inlineStr">
        <is>
          <t>LR-158</t>
        </is>
      </c>
      <c r="B159" s="8" t="inlineStr">
        <is>
          <t>Filters</t>
        </is>
      </c>
      <c r="C159" s="8" t="inlineStr">
        <is>
          <t>Filter counts</t>
        </is>
      </c>
      <c r="D159" s="8" t="inlineStr">
        <is>
          <t>Apply each filter and verify the rate cards are recalculated from the filtered counts</t>
        </is>
      </c>
      <c r="E159" s="8" t="inlineStr">
        <is>
          <t>Logged in as CRM Administrator; Lead Reports open (https://qa-crm.asquareab.com/reports/leads)</t>
        </is>
      </c>
      <c r="F159" s="8" t="inlineStr">
        <is>
          <t>1. On Source &amp; Channel › Performance by &lt;field&gt; note the row of the value to filter by
2. Reload, set only that filter
3. Read Contact Rate, Qualification Rate, Opportunity Conversion, the SPA Signed Win rate and the funnel %
4. Repeat for every filter</t>
        </is>
      </c>
      <c r="G159"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59" s="8" t="inlineStr">
        <is>
          <t>Each rate = its funnel count ÷ Leads Captured = the funnel % = the row's Contact % / Qual. % / Conv. % / Win % (±0.1)</t>
        </is>
      </c>
      <c r="I159" s="8" t="inlineStr">
        <is>
          <t>Values: Digital Marketing 18, Google Ads 5, Palm Exotica Campaign 2026-06 108, Palm Exotica Broker 1 15, CRM Administrator 597, Palm Exotjca Limited 555, India 8, Individual (Person) 41 (of 613). All 8: Contact, Qualification, Opportunity and Win rates = count ÷ Leads Captured = funnel % = row %</t>
        </is>
      </c>
      <c r="J159" s="8" t="inlineStr">
        <is>
          <t>Functional</t>
        </is>
      </c>
      <c r="K159" s="9" t="inlineStr">
        <is>
          <t>High</t>
        </is>
      </c>
      <c r="L159" s="15" t="inlineStr">
        <is>
          <t>Pass</t>
        </is>
      </c>
      <c r="M159" s="8" t="inlineStr">
        <is>
          <t>Executed 15-Oct-2026 (automated: tests/lead-reports/filter-counts.spec.ts)</t>
        </is>
      </c>
    </row>
    <row r="160">
      <c r="A160" s="8" t="inlineStr">
        <is>
          <t>LR-159</t>
        </is>
      </c>
      <c r="B160" s="8" t="inlineStr">
        <is>
          <t>Filters</t>
        </is>
      </c>
      <c r="C160" s="8" t="inlineStr">
        <is>
          <t>Filter counts</t>
        </is>
      </c>
      <c r="D160" s="8" t="inlineStr">
        <is>
          <t>Apply each filter and verify each count card opens a list with that many leads, all matching the filter</t>
        </is>
      </c>
      <c r="E160" s="8" t="inlineStr">
        <is>
          <t>Logged in as CRM Administrator; Lead Reports open (https://qa-crm.asquareab.com/reports/leads)</t>
        </is>
      </c>
      <c r="F160" s="8" t="inlineStr">
        <is>
          <t>1. On Source &amp; Channel › Performance by &lt;field&gt; note the row of the value to filter by
2. Reload, set only that filter
3. Click Leads Captured (and Export), SPA Signed and Open Leads Now
4. Repeat for every filter</t>
        </is>
      </c>
      <c r="G160"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60" s="8" t="inlineStr">
        <is>
          <t>Each list header, rows and export = the card count; every listed lead has the selected value (Source, Channel, Salesperson, Project are checked on the list / export)</t>
        </is>
      </c>
      <c r="I160" s="8" t="inlineStr">
        <is>
          <t>All 8 lists = card counts (e.g. CRM Administrator: Leads Captured 597, SPA Signed 76, Open Leads Now 354); no lead outside the filter on Source, Channel, Salesperson, Project</t>
        </is>
      </c>
      <c r="J160" s="8" t="inlineStr">
        <is>
          <t>Functional</t>
        </is>
      </c>
      <c r="K160" s="9" t="inlineStr">
        <is>
          <t>High</t>
        </is>
      </c>
      <c r="L160" s="15" t="inlineStr">
        <is>
          <t>Pass</t>
        </is>
      </c>
      <c r="M160" s="8" t="inlineStr">
        <is>
          <t>Executed 15-Oct-2026 (automated: tests/lead-reports/filter-counts.spec.ts)</t>
        </is>
      </c>
    </row>
    <row r="161">
      <c r="A161" s="8" t="inlineStr">
        <is>
          <t>LR-160</t>
        </is>
      </c>
      <c r="B161" s="8" t="inlineStr">
        <is>
          <t>Filters</t>
        </is>
      </c>
      <c r="C161" s="8" t="inlineStr">
        <is>
          <t>Filter counts</t>
        </is>
      </c>
      <c r="D161" s="8" t="inlineStr">
        <is>
          <t>Apply each filter and verify Data Completeness and the 12-Month Trend follow the filter</t>
        </is>
      </c>
      <c r="E161" s="8" t="inlineStr">
        <is>
          <t>Logged in as CRM Administrator; Lead Reports open (https://qa-crm.asquareab.com/reports/leads)</t>
        </is>
      </c>
      <c r="F161" s="8" t="inlineStr">
        <is>
          <t>1. On Source &amp; Channel › Performance by &lt;field&gt; note the row of the value to filter by
2. Reload, set only that filter
3. Read Data Completeness and the 12-Month Trend
4. Repeat for every filter</t>
        </is>
      </c>
      <c r="G161"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61" s="8" t="inlineStr">
        <is>
          <t>Every Data Completeness row shows "x / &lt;filtered Leads Captured&gt;"; the 12 months add up to the filtered Leads Captured</t>
        </is>
      </c>
      <c r="I161" s="8" t="inlineStr">
        <is>
          <t>All 8: every Data Completeness row totals the filtered Leads Captured; 12-Month Trend adds up to it</t>
        </is>
      </c>
      <c r="J161" s="8" t="inlineStr">
        <is>
          <t>Functional</t>
        </is>
      </c>
      <c r="K161" s="9" t="inlineStr">
        <is>
          <t>Medium</t>
        </is>
      </c>
      <c r="L161" s="15" t="inlineStr">
        <is>
          <t>Pass</t>
        </is>
      </c>
      <c r="M161" s="8" t="inlineStr">
        <is>
          <t>Executed 15-Oct-2026 (automated: tests/lead-reports/filter-counts.spec.ts)</t>
        </is>
      </c>
    </row>
    <row r="162">
      <c r="A162" s="8" t="inlineStr">
        <is>
          <t>LR-161</t>
        </is>
      </c>
      <c r="B162" s="8" t="inlineStr">
        <is>
          <t>Filters</t>
        </is>
      </c>
      <c r="C162" s="8" t="inlineStr">
        <is>
          <t>Filter counts</t>
        </is>
      </c>
      <c r="D162" s="8" t="inlineStr">
        <is>
          <t>Apply each filter and verify every Source &amp; Channel grouping totals to the filtered counts</t>
        </is>
      </c>
      <c r="E162" s="8" t="inlineStr">
        <is>
          <t>Logged in as CRM Administrator; Lead Reports open (https://qa-crm.asquareab.com/reports/leads)</t>
        </is>
      </c>
      <c r="F162" s="8" t="inlineStr">
        <is>
          <t>1. On Source &amp; Channel › Performance by &lt;field&gt; note the row of the value to filter by
2. Reload, set only that filter
3. Open Source &amp; Channel and switch through all 8 groupings
4. Repeat for every filter</t>
        </is>
      </c>
      <c r="G162"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62" s="8" t="inlineStr">
        <is>
          <t>For every grouping: Total Leads = Leads Captured and Total Contacted / Qualified / Opportunity / Reserved / SPA Signed = the funnel; the filtered field lists only the selected value</t>
        </is>
      </c>
      <c r="I162" s="8" t="inlineStr">
        <is>
          <t>All 8 filters × 8 groupings: Total Leads = Leads Captured and Total Contacted…SPA Signed = funnel; filtered field lists only the selected value</t>
        </is>
      </c>
      <c r="J162" s="8" t="inlineStr">
        <is>
          <t>Functional</t>
        </is>
      </c>
      <c r="K162" s="9" t="inlineStr">
        <is>
          <t>High</t>
        </is>
      </c>
      <c r="L162" s="15" t="inlineStr">
        <is>
          <t>Pass</t>
        </is>
      </c>
      <c r="M162" s="8" t="inlineStr">
        <is>
          <t>Executed 15-Oct-2026 (automated: tests/lead-reports/filter-counts.spec.ts)</t>
        </is>
      </c>
    </row>
    <row r="163">
      <c r="A163" s="8" t="inlineStr">
        <is>
          <t>LR-162</t>
        </is>
      </c>
      <c r="B163" s="8" t="inlineStr">
        <is>
          <t>Filters</t>
        </is>
      </c>
      <c r="C163" s="8" t="inlineStr">
        <is>
          <t>Filter counts</t>
        </is>
      </c>
      <c r="D163" s="8" t="inlineStr">
        <is>
          <t>Apply each filter and verify the Aging &amp; Follow-up counts</t>
        </is>
      </c>
      <c r="E163" s="8" t="inlineStr">
        <is>
          <t>Logged in as CRM Administrator; Lead Reports open (https://qa-crm.asquareab.com/reports/leads)</t>
        </is>
      </c>
      <c r="F163" s="8" t="inlineStr">
        <is>
          <t>1. On Source &amp; Channel › Performance by &lt;field&gt; note the row of the value to filter by
2. Reload, set only that filter
3. Note Open Leads Now; open Aging &amp; Follow-up
4. Repeat for every filter</t>
        </is>
      </c>
      <c r="G163"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63" s="8" t="inlineStr">
        <is>
          <t>Open Leads = Open Leads Now; Never Contacted and Idle Over 30 Days ≤ Open Leads; Idle Time and Lead Age buckets add up to Open Leads; Open Leads by Salesperson Open / Never Contacted / Overdue columns = the cards</t>
        </is>
      </c>
      <c r="I163" s="8" t="inlineStr">
        <is>
          <t>All 8: Aging Open Leads = Open Leads Now (e.g. Campaign 2026-06: 65), buckets and Open Leads by Salesperson add up to it; Never Contacted / Idle ≤ Open</t>
        </is>
      </c>
      <c r="J163" s="8" t="inlineStr">
        <is>
          <t>Functional</t>
        </is>
      </c>
      <c r="K163" s="9" t="inlineStr">
        <is>
          <t>High</t>
        </is>
      </c>
      <c r="L163" s="15" t="inlineStr">
        <is>
          <t>Pass</t>
        </is>
      </c>
      <c r="M163" s="8" t="inlineStr">
        <is>
          <t>Executed 15-Oct-2026 (automated: tests/lead-reports/filter-counts.spec.ts)</t>
        </is>
      </c>
    </row>
    <row r="164">
      <c r="A164" s="8" t="inlineStr">
        <is>
          <t>LR-163</t>
        </is>
      </c>
      <c r="B164" s="8" t="inlineStr">
        <is>
          <t>Filters</t>
        </is>
      </c>
      <c r="C164" s="8" t="inlineStr">
        <is>
          <t>Filter counts</t>
        </is>
      </c>
      <c r="D164" s="8" t="inlineStr">
        <is>
          <t>Apply each filter and verify the Qualification &amp; Conversion counts</t>
        </is>
      </c>
      <c r="E164" s="8" t="inlineStr">
        <is>
          <t>Logged in as CRM Administrator; Lead Reports open (https://qa-crm.asquareab.com/reports/leads)</t>
        </is>
      </c>
      <c r="F164" s="8" t="inlineStr">
        <is>
          <t>1. On Source &amp; Channel › Performance by &lt;field&gt; note the row of the value to filter by
2. Reload, set only that filter
3. Note the Lost total on Source &amp; Channel; open Qualification &amp; Conversion; click View lost leads
4. Repeat for every filter</t>
        </is>
      </c>
      <c r="G164"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64" s="8" t="inlineStr">
        <is>
          <t>Conversion by Lead Rating, Conversion by Lead Score and Where the Leads Are Now each add up to Leads Captured; Lost Reasons add up to Lost; the lost-leads list has that many leads</t>
        </is>
      </c>
      <c r="I164" s="8" t="inlineStr">
        <is>
          <t>All 8: Lead Rating, Lead Score and Where the Leads Are Now add up to Leads Captured; Lost Reasons = Lost (e.g. CRM Administrator 127 = 127) and the lost list matches</t>
        </is>
      </c>
      <c r="J164" s="8" t="inlineStr">
        <is>
          <t>Functional</t>
        </is>
      </c>
      <c r="K164" s="9" t="inlineStr">
        <is>
          <t>High</t>
        </is>
      </c>
      <c r="L164" s="15" t="inlineStr">
        <is>
          <t>Pass</t>
        </is>
      </c>
      <c r="M164" s="8" t="inlineStr">
        <is>
          <t>Executed 15-Oct-2026 (automated: tests/lead-reports/filter-counts.spec.ts)</t>
        </is>
      </c>
    </row>
    <row r="165">
      <c r="A165" s="8" t="inlineStr">
        <is>
          <t>LR-164</t>
        </is>
      </c>
      <c r="B165" s="8" t="inlineStr">
        <is>
          <t>Filters</t>
        </is>
      </c>
      <c r="C165" s="8" t="inlineStr">
        <is>
          <t>Filter counts</t>
        </is>
      </c>
      <c r="D165" s="8" t="inlineStr">
        <is>
          <t>Apply each filter and verify the Salesperson Scorecard totals</t>
        </is>
      </c>
      <c r="E165" s="8" t="inlineStr">
        <is>
          <t>Logged in as CRM Administrator; Lead Reports open (https://qa-crm.asquareab.com/reports/leads)</t>
        </is>
      </c>
      <c r="F165" s="8" t="inlineStr">
        <is>
          <t>1. On Source &amp; Channel › Performance by &lt;field&gt; note the row of the value to filter by
2. Reload, set only that filter
3. Note the funnel and cards; open Aging &amp; Follow-up, then Salesperson Scorecard
4. Repeat for every filter</t>
        </is>
      </c>
      <c r="G165" s="8" t="inlineStr">
        <is>
          <t>Period = Last 12 months. Each of the 8 filters (Project, Lead Source, Capture Channel, Campaign, Broker, Salesperson, Prospect Type, Nationality) is applied on its own, in turn, with its busiest value that has some but not all of the leads (picked from Source &amp; Channel › Performance by &lt;field&gt; at run time)</t>
        </is>
      </c>
      <c r="H165" s="8" t="inlineStr">
        <is>
          <t>Scorecard Leads = Leads Captured; Contacted / Qualified / Opportunity = funnel; SPA Signed = card; Open Now = Open Leads Now; each salesperson's Open Now = their Aging Open</t>
        </is>
      </c>
      <c r="I165" s="8" t="inlineStr">
        <is>
          <t>All 8: Scorecard Leads, Contacted, Qualified, Opportunity, SPA Signed and Open Now totals = the cards / funnel; each salesperson's Open Now = Aging Open</t>
        </is>
      </c>
      <c r="J165" s="8" t="inlineStr">
        <is>
          <t>Functional</t>
        </is>
      </c>
      <c r="K165" s="9" t="inlineStr">
        <is>
          <t>High</t>
        </is>
      </c>
      <c r="L165" s="15" t="inlineStr">
        <is>
          <t>Pass</t>
        </is>
      </c>
      <c r="M165" s="8" t="inlineStr">
        <is>
          <t>Executed 15-Oct-2026 (automated: tests/lead-reports/filter-counts.spec.ts)</t>
        </is>
      </c>
    </row>
    <row r="166">
      <c r="A166" s="8" t="inlineStr">
        <is>
          <t>LR-165</t>
        </is>
      </c>
      <c r="B166" s="8" t="inlineStr">
        <is>
          <t>Filters</t>
        </is>
      </c>
      <c r="C166" s="8" t="inlineStr">
        <is>
          <t>Filter counts</t>
        </is>
      </c>
      <c r="D166" s="8" t="inlineStr">
        <is>
          <t>Apply every value of each filter in turn and verify the filtered counts add up to the unfiltered total</t>
        </is>
      </c>
      <c r="E166" s="8" t="inlineStr">
        <is>
          <t>Logged in as CRM Administrator; Lead Reports open (https://qa-crm.asquareab.com/reports/leads)</t>
        </is>
      </c>
      <c r="F166" s="8" t="inlineStr">
        <is>
          <t>1. On Source &amp; Channel note each field's Total and Unspecified / Unassigned row
2. For each filter, select every option in turn and read Leads Captured
3. Add up the counts per filter</t>
        </is>
      </c>
      <c r="G166" s="8" t="inlineStr">
        <is>
          <t>Period = Last 12 months; every option of all 8 filters</t>
        </is>
      </c>
      <c r="H166" s="8" t="inlineStr">
        <is>
          <t>For every filter: sum of Leads Captured over its options = Total − Unspecified (every lead with a value is counted under exactly one option)</t>
        </is>
      </c>
      <c r="I166" s="8" t="inlineStr">
        <is>
          <t>Lead Source 41 = 613 − 572; Capture Channel 26; Campaign 568; Broker 149; Salesperson 611; Nationality 34; Prospect Type 44 — all add up. Project: 555 + 0 = 555 but Total − Unspecified = 564: 9 leads have project codes not in the Project filter (see LR-156)</t>
        </is>
      </c>
      <c r="J166" s="8" t="inlineStr">
        <is>
          <t>Data</t>
        </is>
      </c>
      <c r="K166" s="9" t="inlineStr">
        <is>
          <t>High</t>
        </is>
      </c>
      <c r="L166" s="17" t="inlineStr">
        <is>
          <t>Fail</t>
        </is>
      </c>
      <c r="M166" s="8" t="inlineStr">
        <is>
          <t>Executed 15-Oct-2026 (automated: tests/lead-reports/filter-counts.spec.ts)</t>
        </is>
      </c>
    </row>
    <row r="167">
      <c r="A167" s="8" t="inlineStr">
        <is>
          <t>LR-166</t>
        </is>
      </c>
      <c r="B167" s="8" t="inlineStr">
        <is>
          <t>Filters</t>
        </is>
      </c>
      <c r="C167" s="8" t="inlineStr">
        <is>
          <t>Filter counts</t>
        </is>
      </c>
      <c r="D167" s="8" t="inlineStr">
        <is>
          <t>Apply each filter with the period "This month" and verify the counts equal that value's row</t>
        </is>
      </c>
      <c r="E167" s="8" t="inlineStr">
        <is>
          <t>Logged in as CRM Administrator; Lead Reports open (https://qa-crm.asquareab.com/reports/leads)</t>
        </is>
      </c>
      <c r="F167" s="8" t="inlineStr">
        <is>
          <t>1. Period = This month; on Source &amp; Channel note the row of the value to filter by
2. Reload on This month, set only that filter
3. Read Leads Captured, SPA Signed, Won Value and the funnel
4. Repeat for every filter</t>
        </is>
      </c>
      <c r="G167" s="8" t="inlineStr">
        <is>
          <t>Period = This month; values picked from This month's Performance by &lt;field&gt;</t>
        </is>
      </c>
      <c r="H167" s="8" t="inlineStr">
        <is>
          <t>Same as LR-157 for This month: cards and funnel = the value's row; filters with no value this month are skipped</t>
        </is>
      </c>
      <c r="I167" s="8" t="inlineStr">
        <is>
          <t>This month (16 leads): Digital Marketing 6, qabroker 3, CRM Administrator 11, Palm Exotjca Limited 1, Canada 2, Individual (Person) 14 — cards and funnel = the row; Capture Channel and Campaign had no value this month (skipped)</t>
        </is>
      </c>
      <c r="J167" s="8" t="inlineStr">
        <is>
          <t>Functional</t>
        </is>
      </c>
      <c r="K167" s="9" t="inlineStr">
        <is>
          <t>Medium</t>
        </is>
      </c>
      <c r="L167" s="15" t="inlineStr">
        <is>
          <t>Pass</t>
        </is>
      </c>
      <c r="M167" s="8" t="inlineStr">
        <is>
          <t>Executed 15-Oct-2026 (automated: tests/lead-reports/filter-counts.spec.ts)</t>
        </is>
      </c>
    </row>
  </sheetData>
  <autoFilter ref="A1:M167"/>
  <dataValidations count="2">
    <dataValidation sqref="L2:L167" showDropDown="0" showInputMessage="0" showErrorMessage="0" allowBlank="0" type="list">
      <formula1>"Not Started,Pass,Fail,Blocked,Not Applicable"</formula1>
    </dataValidation>
    <dataValidation sqref="K2:K167" showDropDown="0" showInputMessage="0" showErrorMessage="0" allowBlank="0" type="list">
      <formula1>"High,Medium,Low"</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O18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46" customWidth="1" min="3" max="3"/>
    <col width="9" customWidth="1" min="4" max="4"/>
    <col width="9" customWidth="1" min="5" max="5"/>
    <col width="8" customWidth="1" min="6" max="6"/>
    <col width="11" customWidth="1" min="7" max="7"/>
    <col width="8" customWidth="1" min="8" max="8"/>
    <col width="9" customWidth="1" min="9" max="9"/>
    <col width="14" customWidth="1" min="10" max="10"/>
    <col width="34" customWidth="1" min="11" max="11"/>
    <col width="9" customWidth="1" min="12" max="12"/>
    <col width="14" customWidth="1" min="13" max="13"/>
    <col width="8" customWidth="1" min="14" max="14"/>
    <col width="48" customWidth="1" min="15" max="15"/>
  </cols>
  <sheetData>
    <row r="1">
      <c r="A1" s="7" t="inlineStr">
        <is>
          <t>#</t>
        </is>
      </c>
      <c r="B1" s="7" t="inlineStr">
        <is>
          <t>Tab</t>
        </is>
      </c>
      <c r="C1" s="7" t="inlineStr">
        <is>
          <t>Count link (where)</t>
        </is>
      </c>
      <c r="D1" s="7" t="inlineStr">
        <is>
          <t>Clicked count</t>
        </is>
      </c>
      <c r="E1" s="7" t="inlineStr">
        <is>
          <t>Header count</t>
        </is>
      </c>
      <c r="F1" s="7" t="inlineStr">
        <is>
          <t>Rows listed</t>
        </is>
      </c>
      <c r="G1" s="7" t="inlineStr">
        <is>
          <t>"showing the first 500"</t>
        </is>
      </c>
      <c r="H1" s="7" t="inlineStr">
        <is>
          <t>Export rows</t>
        </is>
      </c>
      <c r="I1" s="7" t="inlineStr">
        <is>
          <t>Duplicate leads</t>
        </is>
      </c>
      <c r="J1" s="7" t="inlineStr">
        <is>
          <t>Bucket</t>
        </is>
      </c>
      <c r="K1" s="7" t="inlineStr">
        <is>
          <t>Row rule checked</t>
        </is>
      </c>
      <c r="L1" s="7" t="inlineStr">
        <is>
          <t>Rows breaking rule</t>
        </is>
      </c>
      <c r="M1" s="7" t="inlineStr">
        <is>
          <t>Grouping check (rows outside the clicked row)</t>
        </is>
      </c>
      <c r="N1" s="7" t="inlineStr">
        <is>
          <t>Result</t>
        </is>
      </c>
      <c r="O1" s="7" t="inlineStr">
        <is>
          <t>Notes</t>
        </is>
      </c>
    </row>
    <row r="2">
      <c r="A2" s="8" t="n">
        <v>1</v>
      </c>
      <c r="B2" s="8" t="inlineStr">
        <is>
          <t>Overview &amp; Funnel</t>
        </is>
      </c>
      <c r="C2" s="8" t="inlineStr">
        <is>
          <t>KPI "Leads Captured"</t>
        </is>
      </c>
      <c r="D2" s="8" t="n">
        <v>613</v>
      </c>
      <c r="E2" s="8" t="n">
        <v>613</v>
      </c>
      <c r="F2" s="8" t="n">
        <v>500</v>
      </c>
      <c r="G2" s="8" t="inlineStr">
        <is>
          <t>Yes</t>
        </is>
      </c>
      <c r="H2" s="8" t="n">
        <v>613</v>
      </c>
      <c r="I2" s="8" t="n">
        <v>0</v>
      </c>
      <c r="J2" s="8" t="inlineStr">
        <is>
          <t>captured</t>
        </is>
      </c>
      <c r="K2" s="8" t="inlineStr">
        <is>
          <t>Captured date present</t>
        </is>
      </c>
      <c r="L2" s="8" t="n">
        <v>0</v>
      </c>
      <c r="M2" s="8" t="inlineStr">
        <is>
          <t>n/a</t>
        </is>
      </c>
      <c r="N2" s="15" t="inlineStr">
        <is>
          <t>Pass</t>
        </is>
      </c>
      <c r="O2" s="8" t="inlineStr"/>
    </row>
    <row r="3">
      <c r="A3" s="8" t="n">
        <v>2</v>
      </c>
      <c r="B3" s="8" t="inlineStr">
        <is>
          <t>Overview &amp; Funnel</t>
        </is>
      </c>
      <c r="C3" s="8" t="inlineStr">
        <is>
          <t>KPI "SPA Signed"</t>
        </is>
      </c>
      <c r="D3" s="8" t="n">
        <v>76</v>
      </c>
      <c r="E3" s="8" t="n">
        <v>76</v>
      </c>
      <c r="F3" s="8" t="n">
        <v>76</v>
      </c>
      <c r="G3" s="8" t="inlineStr"/>
      <c r="H3" s="8" t="n">
        <v>76</v>
      </c>
      <c r="I3" s="8" t="n">
        <v>0</v>
      </c>
      <c r="J3" s="8" t="inlineStr">
        <is>
          <t>won</t>
        </is>
      </c>
      <c r="K3" s="8" t="inlineStr">
        <is>
          <t>Won Value &gt; 0</t>
        </is>
      </c>
      <c r="L3" s="8" t="n">
        <v>0</v>
      </c>
      <c r="M3" s="8" t="inlineStr">
        <is>
          <t>n/a</t>
        </is>
      </c>
      <c r="N3" s="15" t="inlineStr">
        <is>
          <t>Pass</t>
        </is>
      </c>
      <c r="O3" s="8" t="inlineStr"/>
    </row>
    <row r="4">
      <c r="A4" s="8" t="n">
        <v>3</v>
      </c>
      <c r="B4" s="8" t="inlineStr">
        <is>
          <t>Overview &amp; Funnel</t>
        </is>
      </c>
      <c r="C4" s="8" t="inlineStr">
        <is>
          <t>KPI "Open Leads Now"</t>
        </is>
      </c>
      <c r="D4" s="8" t="n">
        <v>364</v>
      </c>
      <c r="E4" s="8" t="n">
        <v>364</v>
      </c>
      <c r="F4" s="8" t="n">
        <v>364</v>
      </c>
      <c r="G4" s="8" t="inlineStr"/>
      <c r="H4" s="8" t="n">
        <v>364</v>
      </c>
      <c r="I4" s="8" t="n">
        <v>0</v>
      </c>
      <c r="J4" s="8" t="inlineStr">
        <is>
          <t>openNow</t>
        </is>
      </c>
      <c r="K4" s="8" t="inlineStr">
        <is>
          <t>Open status (not Converted/Lost/Disqualified/Duplicate)</t>
        </is>
      </c>
      <c r="L4" s="8" t="n">
        <v>0</v>
      </c>
      <c r="M4" s="8" t="inlineStr">
        <is>
          <t>n/a</t>
        </is>
      </c>
      <c r="N4" s="15" t="inlineStr">
        <is>
          <t>Pass</t>
        </is>
      </c>
      <c r="O4" s="8" t="inlineStr"/>
    </row>
    <row r="5">
      <c r="A5" s="8" t="n">
        <v>4</v>
      </c>
      <c r="B5" s="8" t="inlineStr">
        <is>
          <t>Overview &amp; Funnel</t>
        </is>
      </c>
      <c r="C5" s="8" t="inlineStr">
        <is>
          <t>KPI "Open Leads Now" (subtitle link)</t>
        </is>
      </c>
      <c r="D5" s="8" t="n">
        <v>342</v>
      </c>
      <c r="E5" s="8" t="n">
        <v>342</v>
      </c>
      <c r="F5" s="8" t="n">
        <v>342</v>
      </c>
      <c r="G5" s="8" t="inlineStr"/>
      <c r="H5" s="8" t="n">
        <v>342</v>
      </c>
      <c r="I5" s="8" t="n">
        <v>0</v>
      </c>
      <c r="J5" s="8" t="inlineStr">
        <is>
          <t>idleNow</t>
        </is>
      </c>
      <c r="K5" s="8" t="inlineStr">
        <is>
          <t>Open status and Idle &gt; 30 d</t>
        </is>
      </c>
      <c r="L5" s="8" t="n">
        <v>0</v>
      </c>
      <c r="M5" s="8" t="inlineStr">
        <is>
          <t>n/a</t>
        </is>
      </c>
      <c r="N5" s="15" t="inlineStr">
        <is>
          <t>Pass</t>
        </is>
      </c>
      <c r="O5" s="8" t="inlineStr"/>
    </row>
    <row r="6">
      <c r="A6" s="8" t="n">
        <v>5</v>
      </c>
      <c r="B6" s="8" t="inlineStr">
        <is>
          <t>Overview &amp; Funnel</t>
        </is>
      </c>
      <c r="C6" s="8" t="inlineStr">
        <is>
          <t>KPI "Open Leads Now" (subtitle link)</t>
        </is>
      </c>
      <c r="D6" s="8" t="n">
        <v>163</v>
      </c>
      <c r="E6" s="8" t="n">
        <v>163</v>
      </c>
      <c r="F6" s="8" t="n">
        <v>163</v>
      </c>
      <c r="G6" s="8" t="inlineStr"/>
      <c r="H6" s="8" t="n">
        <v>163</v>
      </c>
      <c r="I6" s="8" t="n">
        <v>0</v>
      </c>
      <c r="J6" s="8" t="inlineStr">
        <is>
          <t>neverContactedNow</t>
        </is>
      </c>
      <c r="K6" s="8" t="inlineStr">
        <is>
          <t>Open status and no First Contact</t>
        </is>
      </c>
      <c r="L6" s="8" t="n">
        <v>0</v>
      </c>
      <c r="M6" s="8" t="inlineStr">
        <is>
          <t>n/a</t>
        </is>
      </c>
      <c r="N6" s="15" t="inlineStr">
        <is>
          <t>Pass</t>
        </is>
      </c>
      <c r="O6" s="8" t="inlineStr"/>
    </row>
    <row r="7">
      <c r="A7" s="8" t="n">
        <v>6</v>
      </c>
      <c r="B7" s="8" t="inlineStr">
        <is>
          <t>Overview &amp; Funnel</t>
        </is>
      </c>
      <c r="C7" s="8" t="inlineStr">
        <is>
          <t>Funnel "Captured"</t>
        </is>
      </c>
      <c r="D7" s="8" t="n">
        <v>613</v>
      </c>
      <c r="E7" s="8" t="n">
        <v>613</v>
      </c>
      <c r="F7" s="8" t="n">
        <v>500</v>
      </c>
      <c r="G7" s="8" t="inlineStr">
        <is>
          <t>Yes</t>
        </is>
      </c>
      <c r="H7" s="8" t="n">
        <v>613</v>
      </c>
      <c r="I7" s="8" t="n">
        <v>0</v>
      </c>
      <c r="J7" s="8" t="inlineStr"/>
      <c r="K7" s="8" t="inlineStr">
        <is>
          <t>(no row rule)</t>
        </is>
      </c>
      <c r="L7" s="8" t="n">
        <v>0</v>
      </c>
      <c r="M7" s="8" t="inlineStr">
        <is>
          <t>n/a</t>
        </is>
      </c>
      <c r="N7" s="15" t="inlineStr">
        <is>
          <t>Pass</t>
        </is>
      </c>
      <c r="O7" s="8" t="inlineStr"/>
    </row>
    <row r="8">
      <c r="A8" s="8" t="n">
        <v>7</v>
      </c>
      <c r="B8" s="8" t="inlineStr">
        <is>
          <t>Overview &amp; Funnel</t>
        </is>
      </c>
      <c r="C8" s="8" t="inlineStr">
        <is>
          <t>Funnel "Contacted"</t>
        </is>
      </c>
      <c r="D8" s="8" t="n">
        <v>322</v>
      </c>
      <c r="E8" s="8" t="n">
        <v>322</v>
      </c>
      <c r="F8" s="8" t="n">
        <v>322</v>
      </c>
      <c r="G8" s="8" t="inlineStr"/>
      <c r="H8" s="8" t="n">
        <v>322</v>
      </c>
      <c r="I8" s="8" t="n">
        <v>0</v>
      </c>
      <c r="J8" s="8" t="inlineStr">
        <is>
          <t>contacted</t>
        </is>
      </c>
      <c r="K8" s="8" t="inlineStr">
        <is>
          <t>First Contact date present, or status Contacted or later (page definition)</t>
        </is>
      </c>
      <c r="L8" s="8" t="n">
        <v>0</v>
      </c>
      <c r="M8" s="8" t="inlineStr">
        <is>
          <t>n/a</t>
        </is>
      </c>
      <c r="N8" s="15" t="inlineStr">
        <is>
          <t>Pass</t>
        </is>
      </c>
      <c r="O8" s="8" t="inlineStr">
        <is>
          <t>71 rows break "First Contact date present"</t>
        </is>
      </c>
    </row>
    <row r="9">
      <c r="A9" s="8" t="n">
        <v>8</v>
      </c>
      <c r="B9" s="8" t="inlineStr">
        <is>
          <t>Overview &amp; Funnel</t>
        </is>
      </c>
      <c r="C9" s="8" t="inlineStr">
        <is>
          <t>Funnel "Qualified"</t>
        </is>
      </c>
      <c r="D9" s="8" t="n">
        <v>249</v>
      </c>
      <c r="E9" s="8" t="n">
        <v>249</v>
      </c>
      <c r="F9" s="8" t="n">
        <v>249</v>
      </c>
      <c r="G9" s="8" t="inlineStr"/>
      <c r="H9" s="8" t="n">
        <v>249</v>
      </c>
      <c r="I9" s="8" t="n">
        <v>0</v>
      </c>
      <c r="J9" s="8" t="inlineStr">
        <is>
          <t>qualified</t>
        </is>
      </c>
      <c r="K9" s="8" t="inlineStr">
        <is>
          <t>Qualified date present</t>
        </is>
      </c>
      <c r="L9" s="8" t="n">
        <v>0</v>
      </c>
      <c r="M9" s="8" t="inlineStr">
        <is>
          <t>n/a</t>
        </is>
      </c>
      <c r="N9" s="15" t="inlineStr">
        <is>
          <t>Pass</t>
        </is>
      </c>
      <c r="O9" s="8" t="inlineStr"/>
    </row>
    <row r="10">
      <c r="A10" s="8" t="n">
        <v>9</v>
      </c>
      <c r="B10" s="8" t="inlineStr">
        <is>
          <t>Overview &amp; Funnel</t>
        </is>
      </c>
      <c r="C10" s="8" t="inlineStr">
        <is>
          <t>Funnel "Opportunity"</t>
        </is>
      </c>
      <c r="D10" s="8" t="n">
        <v>121</v>
      </c>
      <c r="E10" s="8" t="n">
        <v>121</v>
      </c>
      <c r="F10" s="8" t="n">
        <v>121</v>
      </c>
      <c r="G10" s="8" t="inlineStr"/>
      <c r="H10" s="8" t="n">
        <v>121</v>
      </c>
      <c r="I10" s="8" t="n">
        <v>0</v>
      </c>
      <c r="J10" s="8" t="inlineStr">
        <is>
          <t>converted</t>
        </is>
      </c>
      <c r="K10" s="8" t="inlineStr">
        <is>
          <t>Status Converted / Opportunity Created</t>
        </is>
      </c>
      <c r="L10" s="8" t="n">
        <v>0</v>
      </c>
      <c r="M10" s="8" t="inlineStr">
        <is>
          <t>n/a</t>
        </is>
      </c>
      <c r="N10" s="15" t="inlineStr">
        <is>
          <t>Pass</t>
        </is>
      </c>
      <c r="O10" s="8" t="inlineStr"/>
    </row>
    <row r="11">
      <c r="A11" s="8" t="n">
        <v>10</v>
      </c>
      <c r="B11" s="8" t="inlineStr">
        <is>
          <t>Overview &amp; Funnel</t>
        </is>
      </c>
      <c r="C11" s="8" t="inlineStr">
        <is>
          <t>Funnel "Reserved"</t>
        </is>
      </c>
      <c r="D11" s="8" t="n">
        <v>106</v>
      </c>
      <c r="E11" s="8" t="n">
        <v>106</v>
      </c>
      <c r="F11" s="8" t="n">
        <v>106</v>
      </c>
      <c r="G11" s="8" t="inlineStr"/>
      <c r="H11" s="8" t="n">
        <v>106</v>
      </c>
      <c r="I11" s="8" t="n">
        <v>0</v>
      </c>
      <c r="J11" s="8" t="inlineStr">
        <is>
          <t>reserved</t>
        </is>
      </c>
      <c r="K11" s="8" t="inlineStr">
        <is>
          <t>Status Converted / Opportunity Created (reservation not shown in list)</t>
        </is>
      </c>
      <c r="L11" s="8" t="n">
        <v>0</v>
      </c>
      <c r="M11" s="8" t="inlineStr">
        <is>
          <t>n/a</t>
        </is>
      </c>
      <c r="N11" s="15" t="inlineStr">
        <is>
          <t>Pass</t>
        </is>
      </c>
      <c r="O11" s="8" t="inlineStr"/>
    </row>
    <row r="12">
      <c r="A12" s="8" t="n">
        <v>11</v>
      </c>
      <c r="B12" s="8" t="inlineStr">
        <is>
          <t>Overview &amp; Funnel</t>
        </is>
      </c>
      <c r="C12" s="8" t="inlineStr">
        <is>
          <t>Funnel "SPA Signed"</t>
        </is>
      </c>
      <c r="D12" s="8" t="n">
        <v>76</v>
      </c>
      <c r="E12" s="8" t="n">
        <v>76</v>
      </c>
      <c r="F12" s="8" t="n">
        <v>76</v>
      </c>
      <c r="G12" s="8" t="inlineStr"/>
      <c r="H12" s="8" t="n">
        <v>76</v>
      </c>
      <c r="I12" s="8" t="n">
        <v>0</v>
      </c>
      <c r="J12" s="8" t="inlineStr">
        <is>
          <t>won</t>
        </is>
      </c>
      <c r="K12" s="8" t="inlineStr">
        <is>
          <t>Won Value &gt; 0</t>
        </is>
      </c>
      <c r="L12" s="8" t="n">
        <v>0</v>
      </c>
      <c r="M12" s="8" t="inlineStr">
        <is>
          <t>n/a</t>
        </is>
      </c>
      <c r="N12" s="15" t="inlineStr">
        <is>
          <t>Pass</t>
        </is>
      </c>
      <c r="O12" s="8" t="inlineStr"/>
    </row>
    <row r="13">
      <c r="A13" s="8" t="n">
        <v>12</v>
      </c>
      <c r="B13" s="8" t="inlineStr">
        <is>
          <t>Source &amp; Channel</t>
        </is>
      </c>
      <c r="C13" s="8" t="inlineStr">
        <is>
          <t>Performance by Lead Source › Unspecified › Leads</t>
        </is>
      </c>
      <c r="D13" s="8" t="n">
        <v>572</v>
      </c>
      <c r="E13" s="8" t="n">
        <v>572</v>
      </c>
      <c r="F13" s="8" t="n">
        <v>500</v>
      </c>
      <c r="G13" s="8" t="inlineStr">
        <is>
          <t>Yes</t>
        </is>
      </c>
      <c r="H13" s="8" t="n">
        <v>572</v>
      </c>
      <c r="I13" s="8" t="n">
        <v>0</v>
      </c>
      <c r="J13" s="8" t="inlineStr">
        <is>
          <t>captured</t>
        </is>
      </c>
      <c r="K13" s="8" t="inlineStr">
        <is>
          <t>Captured date present</t>
        </is>
      </c>
      <c r="L13" s="8" t="n">
        <v>0</v>
      </c>
      <c r="M13" s="8" t="n">
        <v>0</v>
      </c>
      <c r="N13" s="15" t="inlineStr">
        <is>
          <t>Pass</t>
        </is>
      </c>
      <c r="O13" s="8" t="inlineStr"/>
    </row>
    <row r="14">
      <c r="A14" s="8" t="n">
        <v>13</v>
      </c>
      <c r="B14" s="8" t="inlineStr">
        <is>
          <t>Source &amp; Channel</t>
        </is>
      </c>
      <c r="C14" s="8" t="inlineStr">
        <is>
          <t>Performance by Lead Source › Unspecified › Contacted</t>
        </is>
      </c>
      <c r="D14" s="8" t="n">
        <v>290</v>
      </c>
      <c r="E14" s="8" t="n">
        <v>290</v>
      </c>
      <c r="F14" s="8" t="n">
        <v>290</v>
      </c>
      <c r="G14" s="8" t="inlineStr"/>
      <c r="H14" s="8" t="n">
        <v>290</v>
      </c>
      <c r="I14" s="8" t="n">
        <v>0</v>
      </c>
      <c r="J14" s="8" t="inlineStr">
        <is>
          <t>contacted</t>
        </is>
      </c>
      <c r="K14" s="8" t="inlineStr">
        <is>
          <t>First Contact date present, or status Contacted or later (page definition)</t>
        </is>
      </c>
      <c r="L14" s="8" t="n">
        <v>0</v>
      </c>
      <c r="M14" s="8" t="n">
        <v>0</v>
      </c>
      <c r="N14" s="15" t="inlineStr">
        <is>
          <t>Pass</t>
        </is>
      </c>
      <c r="O14" s="8" t="inlineStr">
        <is>
          <t>71 rows break "First Contact date present"</t>
        </is>
      </c>
    </row>
    <row r="15">
      <c r="A15" s="8" t="n">
        <v>14</v>
      </c>
      <c r="B15" s="8" t="inlineStr">
        <is>
          <t>Source &amp; Channel</t>
        </is>
      </c>
      <c r="C15" s="8" t="inlineStr">
        <is>
          <t>Performance by Lead Source › Unspecified › Qualified</t>
        </is>
      </c>
      <c r="D15" s="8" t="n">
        <v>218</v>
      </c>
      <c r="E15" s="8" t="n">
        <v>218</v>
      </c>
      <c r="F15" s="8" t="n">
        <v>218</v>
      </c>
      <c r="G15" s="8" t="inlineStr"/>
      <c r="H15" s="8" t="n">
        <v>218</v>
      </c>
      <c r="I15" s="8" t="n">
        <v>0</v>
      </c>
      <c r="J15" s="8" t="inlineStr">
        <is>
          <t>qualified</t>
        </is>
      </c>
      <c r="K15" s="8" t="inlineStr">
        <is>
          <t>Qualified date present</t>
        </is>
      </c>
      <c r="L15" s="8" t="n">
        <v>0</v>
      </c>
      <c r="M15" s="8" t="n">
        <v>0</v>
      </c>
      <c r="N15" s="15" t="inlineStr">
        <is>
          <t>Pass</t>
        </is>
      </c>
      <c r="O15" s="8" t="inlineStr"/>
    </row>
    <row r="16">
      <c r="A16" s="8" t="n">
        <v>15</v>
      </c>
      <c r="B16" s="8" t="inlineStr">
        <is>
          <t>Source &amp; Channel</t>
        </is>
      </c>
      <c r="C16" s="8" t="inlineStr">
        <is>
          <t>Performance by Lead Source › Unspecified › Opportunity</t>
        </is>
      </c>
      <c r="D16" s="8" t="n">
        <v>92</v>
      </c>
      <c r="E16" s="8" t="n">
        <v>92</v>
      </c>
      <c r="F16" s="8" t="n">
        <v>92</v>
      </c>
      <c r="G16" s="8" t="inlineStr"/>
      <c r="H16" s="8" t="n">
        <v>92</v>
      </c>
      <c r="I16" s="8" t="n">
        <v>0</v>
      </c>
      <c r="J16" s="8" t="inlineStr">
        <is>
          <t>converted</t>
        </is>
      </c>
      <c r="K16" s="8" t="inlineStr">
        <is>
          <t>Status Converted / Opportunity Created</t>
        </is>
      </c>
      <c r="L16" s="8" t="n">
        <v>0</v>
      </c>
      <c r="M16" s="8" t="n">
        <v>0</v>
      </c>
      <c r="N16" s="15" t="inlineStr">
        <is>
          <t>Pass</t>
        </is>
      </c>
      <c r="O16" s="8" t="inlineStr"/>
    </row>
    <row r="17">
      <c r="A17" s="8" t="n">
        <v>16</v>
      </c>
      <c r="B17" s="8" t="inlineStr">
        <is>
          <t>Source &amp; Channel</t>
        </is>
      </c>
      <c r="C17" s="8" t="inlineStr">
        <is>
          <t>Performance by Lead Source › Unspecified › Reserved</t>
        </is>
      </c>
      <c r="D17" s="8" t="n">
        <v>89</v>
      </c>
      <c r="E17" s="8" t="n">
        <v>89</v>
      </c>
      <c r="F17" s="8" t="n">
        <v>89</v>
      </c>
      <c r="G17" s="8" t="inlineStr"/>
      <c r="H17" s="8" t="n">
        <v>89</v>
      </c>
      <c r="I17" s="8" t="n">
        <v>0</v>
      </c>
      <c r="J17" s="8" t="inlineStr">
        <is>
          <t>reserved</t>
        </is>
      </c>
      <c r="K17" s="8" t="inlineStr">
        <is>
          <t>Status Converted / Opportunity Created (reservation not shown in list)</t>
        </is>
      </c>
      <c r="L17" s="8" t="n">
        <v>0</v>
      </c>
      <c r="M17" s="8" t="n">
        <v>0</v>
      </c>
      <c r="N17" s="15" t="inlineStr">
        <is>
          <t>Pass</t>
        </is>
      </c>
      <c r="O17" s="8" t="inlineStr"/>
    </row>
    <row r="18">
      <c r="A18" s="8" t="n">
        <v>17</v>
      </c>
      <c r="B18" s="8" t="inlineStr">
        <is>
          <t>Source &amp; Channel</t>
        </is>
      </c>
      <c r="C18" s="8" t="inlineStr">
        <is>
          <t>Performance by Lead Source › Unspecified › SPA Signed</t>
        </is>
      </c>
      <c r="D18" s="8" t="n">
        <v>66</v>
      </c>
      <c r="E18" s="8" t="n">
        <v>66</v>
      </c>
      <c r="F18" s="8" t="n">
        <v>66</v>
      </c>
      <c r="G18" s="8" t="inlineStr"/>
      <c r="H18" s="8" t="n">
        <v>66</v>
      </c>
      <c r="I18" s="8" t="n">
        <v>0</v>
      </c>
      <c r="J18" s="8" t="inlineStr">
        <is>
          <t>won</t>
        </is>
      </c>
      <c r="K18" s="8" t="inlineStr">
        <is>
          <t>Won Value &gt; 0</t>
        </is>
      </c>
      <c r="L18" s="8" t="n">
        <v>0</v>
      </c>
      <c r="M18" s="8" t="n">
        <v>0</v>
      </c>
      <c r="N18" s="15" t="inlineStr">
        <is>
          <t>Pass</t>
        </is>
      </c>
      <c r="O18" s="8" t="inlineStr"/>
    </row>
    <row r="19">
      <c r="A19" s="8" t="n">
        <v>18</v>
      </c>
      <c r="B19" s="8" t="inlineStr">
        <is>
          <t>Source &amp; Channel</t>
        </is>
      </c>
      <c r="C19" s="8" t="inlineStr">
        <is>
          <t>Performance by Lead Source › Unspecified › Lost</t>
        </is>
      </c>
      <c r="D19" s="8" t="n">
        <v>128</v>
      </c>
      <c r="E19" s="8" t="n">
        <v>128</v>
      </c>
      <c r="F19" s="8" t="n">
        <v>128</v>
      </c>
      <c r="G19" s="8" t="inlineStr"/>
      <c r="H19" s="8" t="n">
        <v>128</v>
      </c>
      <c r="I19" s="8" t="n">
        <v>0</v>
      </c>
      <c r="J19" s="8" t="inlineStr">
        <is>
          <t>lost</t>
        </is>
      </c>
      <c r="K19" s="8" t="inlineStr">
        <is>
          <t>Status Lost / Disqualified</t>
        </is>
      </c>
      <c r="L19" s="8" t="n">
        <v>0</v>
      </c>
      <c r="M19" s="8" t="n">
        <v>0</v>
      </c>
      <c r="N19" s="15" t="inlineStr">
        <is>
          <t>Pass</t>
        </is>
      </c>
      <c r="O19" s="8" t="inlineStr"/>
    </row>
    <row r="20">
      <c r="A20" s="8" t="n">
        <v>19</v>
      </c>
      <c r="B20" s="8" t="inlineStr">
        <is>
          <t>Source &amp; Channel</t>
        </is>
      </c>
      <c r="C20" s="8" t="inlineStr">
        <is>
          <t>Performance by Lead Source › Digital Marketing › Leads</t>
        </is>
      </c>
      <c r="D20" s="8" t="n">
        <v>18</v>
      </c>
      <c r="E20" s="8" t="n">
        <v>18</v>
      </c>
      <c r="F20" s="8" t="n">
        <v>18</v>
      </c>
      <c r="G20" s="8" t="inlineStr"/>
      <c r="H20" s="8" t="n">
        <v>18</v>
      </c>
      <c r="I20" s="8" t="n">
        <v>0</v>
      </c>
      <c r="J20" s="8" t="inlineStr">
        <is>
          <t>captured</t>
        </is>
      </c>
      <c r="K20" s="8" t="inlineStr">
        <is>
          <t>Captured date present</t>
        </is>
      </c>
      <c r="L20" s="8" t="n">
        <v>0</v>
      </c>
      <c r="M20" s="8" t="n">
        <v>0</v>
      </c>
      <c r="N20" s="15" t="inlineStr">
        <is>
          <t>Pass</t>
        </is>
      </c>
      <c r="O20" s="8" t="inlineStr"/>
    </row>
    <row r="21">
      <c r="A21" s="8" t="n">
        <v>20</v>
      </c>
      <c r="B21" s="8" t="inlineStr">
        <is>
          <t>Source &amp; Channel</t>
        </is>
      </c>
      <c r="C21" s="8" t="inlineStr">
        <is>
          <t>Performance by Lead Source › Digital Marketing › Contacted</t>
        </is>
      </c>
      <c r="D21" s="8" t="n">
        <v>14</v>
      </c>
      <c r="E21" s="8" t="n">
        <v>14</v>
      </c>
      <c r="F21" s="8" t="n">
        <v>14</v>
      </c>
      <c r="G21" s="8" t="inlineStr"/>
      <c r="H21" s="8" t="n">
        <v>14</v>
      </c>
      <c r="I21" s="8" t="n">
        <v>0</v>
      </c>
      <c r="J21" s="8" t="inlineStr">
        <is>
          <t>contacted</t>
        </is>
      </c>
      <c r="K21" s="8" t="inlineStr">
        <is>
          <t>First Contact date present</t>
        </is>
      </c>
      <c r="L21" s="8" t="n">
        <v>0</v>
      </c>
      <c r="M21" s="8" t="n">
        <v>0</v>
      </c>
      <c r="N21" s="15" t="inlineStr">
        <is>
          <t>Pass</t>
        </is>
      </c>
      <c r="O21" s="8" t="inlineStr"/>
    </row>
    <row r="22">
      <c r="A22" s="8" t="n">
        <v>21</v>
      </c>
      <c r="B22" s="8" t="inlineStr">
        <is>
          <t>Source &amp; Channel</t>
        </is>
      </c>
      <c r="C22" s="8" t="inlineStr">
        <is>
          <t>Performance by Lead Source › Digital Marketing › Qualified</t>
        </is>
      </c>
      <c r="D22" s="8" t="n">
        <v>13</v>
      </c>
      <c r="E22" s="8" t="n">
        <v>13</v>
      </c>
      <c r="F22" s="8" t="n">
        <v>13</v>
      </c>
      <c r="G22" s="8" t="inlineStr"/>
      <c r="H22" s="8" t="n">
        <v>13</v>
      </c>
      <c r="I22" s="8" t="n">
        <v>0</v>
      </c>
      <c r="J22" s="8" t="inlineStr">
        <is>
          <t>qualified</t>
        </is>
      </c>
      <c r="K22" s="8" t="inlineStr">
        <is>
          <t>Qualified date present</t>
        </is>
      </c>
      <c r="L22" s="8" t="n">
        <v>0</v>
      </c>
      <c r="M22" s="8" t="n">
        <v>0</v>
      </c>
      <c r="N22" s="15" t="inlineStr">
        <is>
          <t>Pass</t>
        </is>
      </c>
      <c r="O22" s="8" t="inlineStr"/>
    </row>
    <row r="23">
      <c r="A23" s="8" t="n">
        <v>22</v>
      </c>
      <c r="B23" s="8" t="inlineStr">
        <is>
          <t>Source &amp; Channel</t>
        </is>
      </c>
      <c r="C23" s="8" t="inlineStr">
        <is>
          <t>Performance by Lead Source › Digital Marketing › Opportunity</t>
        </is>
      </c>
      <c r="D23" s="8" t="n">
        <v>11</v>
      </c>
      <c r="E23" s="8" t="n">
        <v>11</v>
      </c>
      <c r="F23" s="8" t="n">
        <v>11</v>
      </c>
      <c r="G23" s="8" t="inlineStr"/>
      <c r="H23" s="8" t="n">
        <v>11</v>
      </c>
      <c r="I23" s="8" t="n">
        <v>0</v>
      </c>
      <c r="J23" s="8" t="inlineStr">
        <is>
          <t>converted</t>
        </is>
      </c>
      <c r="K23" s="8" t="inlineStr">
        <is>
          <t>Status Converted / Opportunity Created</t>
        </is>
      </c>
      <c r="L23" s="8" t="n">
        <v>0</v>
      </c>
      <c r="M23" s="8" t="n">
        <v>0</v>
      </c>
      <c r="N23" s="15" t="inlineStr">
        <is>
          <t>Pass</t>
        </is>
      </c>
      <c r="O23" s="8" t="inlineStr"/>
    </row>
    <row r="24">
      <c r="A24" s="8" t="n">
        <v>23</v>
      </c>
      <c r="B24" s="8" t="inlineStr">
        <is>
          <t>Source &amp; Channel</t>
        </is>
      </c>
      <c r="C24" s="8" t="inlineStr">
        <is>
          <t>Performance by Lead Source › Digital Marketing › Reserved</t>
        </is>
      </c>
      <c r="D24" s="8" t="n">
        <v>7</v>
      </c>
      <c r="E24" s="8" t="n">
        <v>7</v>
      </c>
      <c r="F24" s="8" t="n">
        <v>7</v>
      </c>
      <c r="G24" s="8" t="inlineStr"/>
      <c r="H24" s="8" t="n">
        <v>7</v>
      </c>
      <c r="I24" s="8" t="n">
        <v>0</v>
      </c>
      <c r="J24" s="8" t="inlineStr">
        <is>
          <t>reserved</t>
        </is>
      </c>
      <c r="K24" s="8" t="inlineStr">
        <is>
          <t>Status Converted / Opportunity Created (reservation not shown in list)</t>
        </is>
      </c>
      <c r="L24" s="8" t="n">
        <v>0</v>
      </c>
      <c r="M24" s="8" t="n">
        <v>0</v>
      </c>
      <c r="N24" s="15" t="inlineStr">
        <is>
          <t>Pass</t>
        </is>
      </c>
      <c r="O24" s="8" t="inlineStr"/>
    </row>
    <row r="25">
      <c r="A25" s="8" t="n">
        <v>24</v>
      </c>
      <c r="B25" s="8" t="inlineStr">
        <is>
          <t>Source &amp; Channel</t>
        </is>
      </c>
      <c r="C25" s="8" t="inlineStr">
        <is>
          <t>Performance by Lead Source › Digital Marketing › SPA Signed</t>
        </is>
      </c>
      <c r="D25" s="8" t="n">
        <v>5</v>
      </c>
      <c r="E25" s="8" t="n">
        <v>5</v>
      </c>
      <c r="F25" s="8" t="n">
        <v>5</v>
      </c>
      <c r="G25" s="8" t="inlineStr"/>
      <c r="H25" s="8" t="n">
        <v>5</v>
      </c>
      <c r="I25" s="8" t="n">
        <v>0</v>
      </c>
      <c r="J25" s="8" t="inlineStr">
        <is>
          <t>won</t>
        </is>
      </c>
      <c r="K25" s="8" t="inlineStr">
        <is>
          <t>Won Value &gt; 0</t>
        </is>
      </c>
      <c r="L25" s="8" t="n">
        <v>0</v>
      </c>
      <c r="M25" s="8" t="n">
        <v>0</v>
      </c>
      <c r="N25" s="15" t="inlineStr">
        <is>
          <t>Pass</t>
        </is>
      </c>
      <c r="O25" s="8" t="inlineStr"/>
    </row>
    <row r="26">
      <c r="A26" s="8" t="n">
        <v>25</v>
      </c>
      <c r="B26" s="8" t="inlineStr">
        <is>
          <t>Source &amp; Channel</t>
        </is>
      </c>
      <c r="C26" s="8" t="inlineStr">
        <is>
          <t>Performance by Lead Source › Broker Channels › Leads</t>
        </is>
      </c>
      <c r="D26" s="8" t="n">
        <v>6</v>
      </c>
      <c r="E26" s="8" t="n">
        <v>6</v>
      </c>
      <c r="F26" s="8" t="n">
        <v>6</v>
      </c>
      <c r="G26" s="8" t="inlineStr"/>
      <c r="H26" s="8" t="n">
        <v>6</v>
      </c>
      <c r="I26" s="8" t="n">
        <v>0</v>
      </c>
      <c r="J26" s="8" t="inlineStr">
        <is>
          <t>captured</t>
        </is>
      </c>
      <c r="K26" s="8" t="inlineStr">
        <is>
          <t>Captured date present</t>
        </is>
      </c>
      <c r="L26" s="8" t="n">
        <v>0</v>
      </c>
      <c r="M26" s="8" t="n">
        <v>0</v>
      </c>
      <c r="N26" s="15" t="inlineStr">
        <is>
          <t>Pass</t>
        </is>
      </c>
      <c r="O26" s="8" t="inlineStr"/>
    </row>
    <row r="27">
      <c r="A27" s="8" t="n">
        <v>26</v>
      </c>
      <c r="B27" s="8" t="inlineStr">
        <is>
          <t>Source &amp; Channel</t>
        </is>
      </c>
      <c r="C27" s="8" t="inlineStr">
        <is>
          <t>Performance by Lead Source › Broker Channels › Contacted</t>
        </is>
      </c>
      <c r="D27" s="8" t="n">
        <v>3</v>
      </c>
      <c r="E27" s="8" t="n">
        <v>3</v>
      </c>
      <c r="F27" s="8" t="n">
        <v>3</v>
      </c>
      <c r="G27" s="8" t="inlineStr"/>
      <c r="H27" s="8" t="n">
        <v>3</v>
      </c>
      <c r="I27" s="8" t="n">
        <v>0</v>
      </c>
      <c r="J27" s="8" t="inlineStr">
        <is>
          <t>contacted</t>
        </is>
      </c>
      <c r="K27" s="8" t="inlineStr">
        <is>
          <t>First Contact date present</t>
        </is>
      </c>
      <c r="L27" s="8" t="n">
        <v>0</v>
      </c>
      <c r="M27" s="8" t="n">
        <v>0</v>
      </c>
      <c r="N27" s="15" t="inlineStr">
        <is>
          <t>Pass</t>
        </is>
      </c>
      <c r="O27" s="8" t="inlineStr"/>
    </row>
    <row r="28">
      <c r="A28" s="8" t="n">
        <v>27</v>
      </c>
      <c r="B28" s="8" t="inlineStr">
        <is>
          <t>Source &amp; Channel</t>
        </is>
      </c>
      <c r="C28" s="8" t="inlineStr">
        <is>
          <t>Performance by Lead Source › Broker Channels › Qualified</t>
        </is>
      </c>
      <c r="D28" s="8" t="n">
        <v>3</v>
      </c>
      <c r="E28" s="8" t="n">
        <v>3</v>
      </c>
      <c r="F28" s="8" t="n">
        <v>3</v>
      </c>
      <c r="G28" s="8" t="inlineStr"/>
      <c r="H28" s="8" t="n">
        <v>3</v>
      </c>
      <c r="I28" s="8" t="n">
        <v>0</v>
      </c>
      <c r="J28" s="8" t="inlineStr">
        <is>
          <t>qualified</t>
        </is>
      </c>
      <c r="K28" s="8" t="inlineStr">
        <is>
          <t>Qualified date present</t>
        </is>
      </c>
      <c r="L28" s="8" t="n">
        <v>0</v>
      </c>
      <c r="M28" s="8" t="n">
        <v>0</v>
      </c>
      <c r="N28" s="15" t="inlineStr">
        <is>
          <t>Pass</t>
        </is>
      </c>
      <c r="O28" s="8" t="inlineStr"/>
    </row>
    <row r="29">
      <c r="A29" s="8" t="n">
        <v>28</v>
      </c>
      <c r="B29" s="8" t="inlineStr">
        <is>
          <t>Source &amp; Channel</t>
        </is>
      </c>
      <c r="C29" s="8" t="inlineStr">
        <is>
          <t>Performance by Lead Source › Broker Channels › Opportunity</t>
        </is>
      </c>
      <c r="D29" s="8" t="n">
        <v>3</v>
      </c>
      <c r="E29" s="8" t="n">
        <v>3</v>
      </c>
      <c r="F29" s="8" t="n">
        <v>3</v>
      </c>
      <c r="G29" s="8" t="inlineStr"/>
      <c r="H29" s="8" t="n">
        <v>3</v>
      </c>
      <c r="I29" s="8" t="n">
        <v>0</v>
      </c>
      <c r="J29" s="8" t="inlineStr">
        <is>
          <t>converted</t>
        </is>
      </c>
      <c r="K29" s="8" t="inlineStr">
        <is>
          <t>Status Converted / Opportunity Created</t>
        </is>
      </c>
      <c r="L29" s="8" t="n">
        <v>0</v>
      </c>
      <c r="M29" s="8" t="n">
        <v>0</v>
      </c>
      <c r="N29" s="15" t="inlineStr">
        <is>
          <t>Pass</t>
        </is>
      </c>
      <c r="O29" s="8" t="inlineStr"/>
    </row>
    <row r="30">
      <c r="A30" s="8" t="n">
        <v>29</v>
      </c>
      <c r="B30" s="8" t="inlineStr">
        <is>
          <t>Source &amp; Channel</t>
        </is>
      </c>
      <c r="C30" s="8" t="inlineStr">
        <is>
          <t>Performance by Lead Source › Broker Channels › Reserved</t>
        </is>
      </c>
      <c r="D30" s="8" t="n">
        <v>2</v>
      </c>
      <c r="E30" s="8" t="n">
        <v>2</v>
      </c>
      <c r="F30" s="8" t="n">
        <v>2</v>
      </c>
      <c r="G30" s="8" t="inlineStr"/>
      <c r="H30" s="8" t="n">
        <v>2</v>
      </c>
      <c r="I30" s="8" t="n">
        <v>0</v>
      </c>
      <c r="J30" s="8" t="inlineStr">
        <is>
          <t>reserved</t>
        </is>
      </c>
      <c r="K30" s="8" t="inlineStr">
        <is>
          <t>Status Converted / Opportunity Created (reservation not shown in list)</t>
        </is>
      </c>
      <c r="L30" s="8" t="n">
        <v>0</v>
      </c>
      <c r="M30" s="8" t="n">
        <v>0</v>
      </c>
      <c r="N30" s="15" t="inlineStr">
        <is>
          <t>Pass</t>
        </is>
      </c>
      <c r="O30" s="8" t="inlineStr"/>
    </row>
    <row r="31">
      <c r="A31" s="8" t="n">
        <v>30</v>
      </c>
      <c r="B31" s="8" t="inlineStr">
        <is>
          <t>Source &amp; Channel</t>
        </is>
      </c>
      <c r="C31" s="8" t="inlineStr">
        <is>
          <t>Performance by Lead Source › Broker Channels › SPA Signed</t>
        </is>
      </c>
      <c r="D31" s="8" t="n">
        <v>2</v>
      </c>
      <c r="E31" s="8" t="n">
        <v>2</v>
      </c>
      <c r="F31" s="8" t="n">
        <v>2</v>
      </c>
      <c r="G31" s="8" t="inlineStr"/>
      <c r="H31" s="8" t="n">
        <v>2</v>
      </c>
      <c r="I31" s="8" t="n">
        <v>0</v>
      </c>
      <c r="J31" s="8" t="inlineStr">
        <is>
          <t>won</t>
        </is>
      </c>
      <c r="K31" s="8" t="inlineStr">
        <is>
          <t>Won Value &gt; 0</t>
        </is>
      </c>
      <c r="L31" s="8" t="n">
        <v>0</v>
      </c>
      <c r="M31" s="8" t="n">
        <v>0</v>
      </c>
      <c r="N31" s="15" t="inlineStr">
        <is>
          <t>Pass</t>
        </is>
      </c>
      <c r="O31" s="8" t="inlineStr"/>
    </row>
    <row r="32">
      <c r="A32" s="8" t="n">
        <v>31</v>
      </c>
      <c r="B32" s="8" t="inlineStr">
        <is>
          <t>Source &amp; Channel</t>
        </is>
      </c>
      <c r="C32" s="8" t="inlineStr">
        <is>
          <t>Performance by Lead Source › Direct Sales › Leads</t>
        </is>
      </c>
      <c r="D32" s="8" t="n">
        <v>6</v>
      </c>
      <c r="E32" s="8" t="n">
        <v>6</v>
      </c>
      <c r="F32" s="8" t="n">
        <v>6</v>
      </c>
      <c r="G32" s="8" t="inlineStr"/>
      <c r="H32" s="8" t="n">
        <v>6</v>
      </c>
      <c r="I32" s="8" t="n">
        <v>0</v>
      </c>
      <c r="J32" s="8" t="inlineStr">
        <is>
          <t>captured</t>
        </is>
      </c>
      <c r="K32" s="8" t="inlineStr">
        <is>
          <t>Captured date present</t>
        </is>
      </c>
      <c r="L32" s="8" t="n">
        <v>0</v>
      </c>
      <c r="M32" s="8" t="n">
        <v>0</v>
      </c>
      <c r="N32" s="15" t="inlineStr">
        <is>
          <t>Pass</t>
        </is>
      </c>
      <c r="O32" s="8" t="inlineStr"/>
    </row>
    <row r="33">
      <c r="A33" s="8" t="n">
        <v>32</v>
      </c>
      <c r="B33" s="8" t="inlineStr">
        <is>
          <t>Source &amp; Channel</t>
        </is>
      </c>
      <c r="C33" s="8" t="inlineStr">
        <is>
          <t>Performance by Lead Source › Direct Sales › Contacted</t>
        </is>
      </c>
      <c r="D33" s="8" t="n">
        <v>6</v>
      </c>
      <c r="E33" s="8" t="n">
        <v>6</v>
      </c>
      <c r="F33" s="8" t="n">
        <v>6</v>
      </c>
      <c r="G33" s="8" t="inlineStr"/>
      <c r="H33" s="8" t="n">
        <v>6</v>
      </c>
      <c r="I33" s="8" t="n">
        <v>0</v>
      </c>
      <c r="J33" s="8" t="inlineStr">
        <is>
          <t>contacted</t>
        </is>
      </c>
      <c r="K33" s="8" t="inlineStr">
        <is>
          <t>First Contact date present</t>
        </is>
      </c>
      <c r="L33" s="8" t="n">
        <v>0</v>
      </c>
      <c r="M33" s="8" t="n">
        <v>0</v>
      </c>
      <c r="N33" s="15" t="inlineStr">
        <is>
          <t>Pass</t>
        </is>
      </c>
      <c r="O33" s="8" t="inlineStr"/>
    </row>
    <row r="34">
      <c r="A34" s="8" t="n">
        <v>33</v>
      </c>
      <c r="B34" s="8" t="inlineStr">
        <is>
          <t>Source &amp; Channel</t>
        </is>
      </c>
      <c r="C34" s="8" t="inlineStr">
        <is>
          <t>Performance by Lead Source › Direct Sales › Qualified</t>
        </is>
      </c>
      <c r="D34" s="8" t="n">
        <v>6</v>
      </c>
      <c r="E34" s="8" t="n">
        <v>6</v>
      </c>
      <c r="F34" s="8" t="n">
        <v>6</v>
      </c>
      <c r="G34" s="8" t="inlineStr"/>
      <c r="H34" s="8" t="n">
        <v>6</v>
      </c>
      <c r="I34" s="8" t="n">
        <v>0</v>
      </c>
      <c r="J34" s="8" t="inlineStr">
        <is>
          <t>qualified</t>
        </is>
      </c>
      <c r="K34" s="8" t="inlineStr">
        <is>
          <t>Qualified date present</t>
        </is>
      </c>
      <c r="L34" s="8" t="n">
        <v>0</v>
      </c>
      <c r="M34" s="8" t="n">
        <v>0</v>
      </c>
      <c r="N34" s="15" t="inlineStr">
        <is>
          <t>Pass</t>
        </is>
      </c>
      <c r="O34" s="8" t="inlineStr"/>
    </row>
    <row r="35">
      <c r="A35" s="8" t="n">
        <v>34</v>
      </c>
      <c r="B35" s="8" t="inlineStr">
        <is>
          <t>Source &amp; Channel</t>
        </is>
      </c>
      <c r="C35" s="8" t="inlineStr">
        <is>
          <t>Performance by Lead Source › Direct Sales › Opportunity</t>
        </is>
      </c>
      <c r="D35" s="8" t="n">
        <v>6</v>
      </c>
      <c r="E35" s="8" t="n">
        <v>6</v>
      </c>
      <c r="F35" s="8" t="n">
        <v>6</v>
      </c>
      <c r="G35" s="8" t="inlineStr"/>
      <c r="H35" s="8" t="n">
        <v>6</v>
      </c>
      <c r="I35" s="8" t="n">
        <v>0</v>
      </c>
      <c r="J35" s="8" t="inlineStr">
        <is>
          <t>converted</t>
        </is>
      </c>
      <c r="K35" s="8" t="inlineStr">
        <is>
          <t>Status Converted / Opportunity Created</t>
        </is>
      </c>
      <c r="L35" s="8" t="n">
        <v>0</v>
      </c>
      <c r="M35" s="8" t="n">
        <v>0</v>
      </c>
      <c r="N35" s="15" t="inlineStr">
        <is>
          <t>Pass</t>
        </is>
      </c>
      <c r="O35" s="8" t="inlineStr"/>
    </row>
    <row r="36">
      <c r="A36" s="8" t="n">
        <v>35</v>
      </c>
      <c r="B36" s="8" t="inlineStr">
        <is>
          <t>Source &amp; Channel</t>
        </is>
      </c>
      <c r="C36" s="8" t="inlineStr">
        <is>
          <t>Performance by Lead Source › Direct Sales › Reserved</t>
        </is>
      </c>
      <c r="D36" s="8" t="n">
        <v>2</v>
      </c>
      <c r="E36" s="8" t="n">
        <v>2</v>
      </c>
      <c r="F36" s="8" t="n">
        <v>2</v>
      </c>
      <c r="G36" s="8" t="inlineStr"/>
      <c r="H36" s="8" t="n">
        <v>2</v>
      </c>
      <c r="I36" s="8" t="n">
        <v>0</v>
      </c>
      <c r="J36" s="8" t="inlineStr">
        <is>
          <t>reserved</t>
        </is>
      </c>
      <c r="K36" s="8" t="inlineStr">
        <is>
          <t>Status Converted / Opportunity Created (reservation not shown in list)</t>
        </is>
      </c>
      <c r="L36" s="8" t="n">
        <v>0</v>
      </c>
      <c r="M36" s="8" t="n">
        <v>0</v>
      </c>
      <c r="N36" s="15" t="inlineStr">
        <is>
          <t>Pass</t>
        </is>
      </c>
      <c r="O36" s="8" t="inlineStr"/>
    </row>
    <row r="37">
      <c r="A37" s="8" t="n">
        <v>36</v>
      </c>
      <c r="B37" s="8" t="inlineStr">
        <is>
          <t>Source &amp; Channel</t>
        </is>
      </c>
      <c r="C37" s="8" t="inlineStr">
        <is>
          <t>Performance by Lead Source › Property Portals › Leads</t>
        </is>
      </c>
      <c r="D37" s="8" t="n">
        <v>5</v>
      </c>
      <c r="E37" s="8" t="n">
        <v>5</v>
      </c>
      <c r="F37" s="8" t="n">
        <v>5</v>
      </c>
      <c r="G37" s="8" t="inlineStr"/>
      <c r="H37" s="8" t="n">
        <v>5</v>
      </c>
      <c r="I37" s="8" t="n">
        <v>0</v>
      </c>
      <c r="J37" s="8" t="inlineStr">
        <is>
          <t>captured</t>
        </is>
      </c>
      <c r="K37" s="8" t="inlineStr">
        <is>
          <t>Captured date present</t>
        </is>
      </c>
      <c r="L37" s="8" t="n">
        <v>0</v>
      </c>
      <c r="M37" s="8" t="n">
        <v>0</v>
      </c>
      <c r="N37" s="15" t="inlineStr">
        <is>
          <t>Pass</t>
        </is>
      </c>
      <c r="O37" s="8" t="inlineStr"/>
    </row>
    <row r="38">
      <c r="A38" s="8" t="n">
        <v>37</v>
      </c>
      <c r="B38" s="8" t="inlineStr">
        <is>
          <t>Source &amp; Channel</t>
        </is>
      </c>
      <c r="C38" s="8" t="inlineStr">
        <is>
          <t>Performance by Lead Source › Property Portals › Contacted</t>
        </is>
      </c>
      <c r="D38" s="8" t="n">
        <v>3</v>
      </c>
      <c r="E38" s="8" t="n">
        <v>3</v>
      </c>
      <c r="F38" s="8" t="n">
        <v>3</v>
      </c>
      <c r="G38" s="8" t="inlineStr"/>
      <c r="H38" s="8" t="n">
        <v>3</v>
      </c>
      <c r="I38" s="8" t="n">
        <v>0</v>
      </c>
      <c r="J38" s="8" t="inlineStr">
        <is>
          <t>contacted</t>
        </is>
      </c>
      <c r="K38" s="8" t="inlineStr">
        <is>
          <t>First Contact date present</t>
        </is>
      </c>
      <c r="L38" s="8" t="n">
        <v>0</v>
      </c>
      <c r="M38" s="8" t="n">
        <v>0</v>
      </c>
      <c r="N38" s="15" t="inlineStr">
        <is>
          <t>Pass</t>
        </is>
      </c>
      <c r="O38" s="8" t="inlineStr"/>
    </row>
    <row r="39">
      <c r="A39" s="8" t="n">
        <v>38</v>
      </c>
      <c r="B39" s="8" t="inlineStr">
        <is>
          <t>Source &amp; Channel</t>
        </is>
      </c>
      <c r="C39" s="8" t="inlineStr">
        <is>
          <t>Performance by Lead Source › Property Portals › Qualified</t>
        </is>
      </c>
      <c r="D39" s="8" t="n">
        <v>3</v>
      </c>
      <c r="E39" s="8" t="n">
        <v>3</v>
      </c>
      <c r="F39" s="8" t="n">
        <v>3</v>
      </c>
      <c r="G39" s="8" t="inlineStr"/>
      <c r="H39" s="8" t="n">
        <v>3</v>
      </c>
      <c r="I39" s="8" t="n">
        <v>0</v>
      </c>
      <c r="J39" s="8" t="inlineStr">
        <is>
          <t>qualified</t>
        </is>
      </c>
      <c r="K39" s="8" t="inlineStr">
        <is>
          <t>Qualified date present</t>
        </is>
      </c>
      <c r="L39" s="8" t="n">
        <v>0</v>
      </c>
      <c r="M39" s="8" t="n">
        <v>0</v>
      </c>
      <c r="N39" s="15" t="inlineStr">
        <is>
          <t>Pass</t>
        </is>
      </c>
      <c r="O39" s="8" t="inlineStr"/>
    </row>
    <row r="40">
      <c r="A40" s="8" t="n">
        <v>39</v>
      </c>
      <c r="B40" s="8" t="inlineStr">
        <is>
          <t>Source &amp; Channel</t>
        </is>
      </c>
      <c r="C40" s="8" t="inlineStr">
        <is>
          <t>Performance by Lead Source › Property Portals › Opportunity</t>
        </is>
      </c>
      <c r="D40" s="8" t="n">
        <v>3</v>
      </c>
      <c r="E40" s="8" t="n">
        <v>3</v>
      </c>
      <c r="F40" s="8" t="n">
        <v>3</v>
      </c>
      <c r="G40" s="8" t="inlineStr"/>
      <c r="H40" s="8" t="n">
        <v>3</v>
      </c>
      <c r="I40" s="8" t="n">
        <v>0</v>
      </c>
      <c r="J40" s="8" t="inlineStr">
        <is>
          <t>converted</t>
        </is>
      </c>
      <c r="K40" s="8" t="inlineStr">
        <is>
          <t>Status Converted / Opportunity Created</t>
        </is>
      </c>
      <c r="L40" s="8" t="n">
        <v>0</v>
      </c>
      <c r="M40" s="8" t="n">
        <v>0</v>
      </c>
      <c r="N40" s="15" t="inlineStr">
        <is>
          <t>Pass</t>
        </is>
      </c>
      <c r="O40" s="8" t="inlineStr"/>
    </row>
    <row r="41">
      <c r="A41" s="8" t="n">
        <v>40</v>
      </c>
      <c r="B41" s="8" t="inlineStr">
        <is>
          <t>Source &amp; Channel</t>
        </is>
      </c>
      <c r="C41" s="8" t="inlineStr">
        <is>
          <t>Performance by Lead Source › Property Portals › Reserved</t>
        </is>
      </c>
      <c r="D41" s="8" t="n">
        <v>2</v>
      </c>
      <c r="E41" s="8" t="n">
        <v>2</v>
      </c>
      <c r="F41" s="8" t="n">
        <v>2</v>
      </c>
      <c r="G41" s="8" t="inlineStr"/>
      <c r="H41" s="8" t="n">
        <v>2</v>
      </c>
      <c r="I41" s="8" t="n">
        <v>0</v>
      </c>
      <c r="J41" s="8" t="inlineStr">
        <is>
          <t>reserved</t>
        </is>
      </c>
      <c r="K41" s="8" t="inlineStr">
        <is>
          <t>Status Converted / Opportunity Created (reservation not shown in list)</t>
        </is>
      </c>
      <c r="L41" s="8" t="n">
        <v>0</v>
      </c>
      <c r="M41" s="8" t="n">
        <v>0</v>
      </c>
      <c r="N41" s="15" t="inlineStr">
        <is>
          <t>Pass</t>
        </is>
      </c>
      <c r="O41" s="8" t="inlineStr"/>
    </row>
    <row r="42">
      <c r="A42" s="8" t="n">
        <v>41</v>
      </c>
      <c r="B42" s="8" t="inlineStr">
        <is>
          <t>Source &amp; Channel</t>
        </is>
      </c>
      <c r="C42" s="8" t="inlineStr">
        <is>
          <t>Performance by Lead Source › Property Portals › SPA Signed</t>
        </is>
      </c>
      <c r="D42" s="8" t="n">
        <v>2</v>
      </c>
      <c r="E42" s="8" t="n">
        <v>2</v>
      </c>
      <c r="F42" s="8" t="n">
        <v>2</v>
      </c>
      <c r="G42" s="8" t="inlineStr"/>
      <c r="H42" s="8" t="n">
        <v>2</v>
      </c>
      <c r="I42" s="8" t="n">
        <v>0</v>
      </c>
      <c r="J42" s="8" t="inlineStr">
        <is>
          <t>won</t>
        </is>
      </c>
      <c r="K42" s="8" t="inlineStr">
        <is>
          <t>Won Value &gt; 0</t>
        </is>
      </c>
      <c r="L42" s="8" t="n">
        <v>0</v>
      </c>
      <c r="M42" s="8" t="n">
        <v>0</v>
      </c>
      <c r="N42" s="15" t="inlineStr">
        <is>
          <t>Pass</t>
        </is>
      </c>
      <c r="O42" s="8" t="inlineStr"/>
    </row>
    <row r="43">
      <c r="A43" s="8" t="n">
        <v>42</v>
      </c>
      <c r="B43" s="8" t="inlineStr">
        <is>
          <t>Source &amp; Channel</t>
        </is>
      </c>
      <c r="C43" s="8" t="inlineStr">
        <is>
          <t>Performance by Lead Source › Hospitality Channels › Leads</t>
        </is>
      </c>
      <c r="D43" s="8" t="n">
        <v>2</v>
      </c>
      <c r="E43" s="8" t="n">
        <v>2</v>
      </c>
      <c r="F43" s="8" t="n">
        <v>2</v>
      </c>
      <c r="G43" s="8" t="inlineStr"/>
      <c r="H43" s="8" t="n">
        <v>2</v>
      </c>
      <c r="I43" s="8" t="n">
        <v>0</v>
      </c>
      <c r="J43" s="8" t="inlineStr">
        <is>
          <t>captured</t>
        </is>
      </c>
      <c r="K43" s="8" t="inlineStr">
        <is>
          <t>Captured date present</t>
        </is>
      </c>
      <c r="L43" s="8" t="n">
        <v>0</v>
      </c>
      <c r="M43" s="8" t="n">
        <v>0</v>
      </c>
      <c r="N43" s="15" t="inlineStr">
        <is>
          <t>Pass</t>
        </is>
      </c>
      <c r="O43" s="8" t="inlineStr"/>
    </row>
    <row r="44">
      <c r="A44" s="8" t="n">
        <v>43</v>
      </c>
      <c r="B44" s="8" t="inlineStr">
        <is>
          <t>Source &amp; Channel</t>
        </is>
      </c>
      <c r="C44" s="8" t="inlineStr">
        <is>
          <t>Performance by Lead Source › Hospitality Channels › Contacted</t>
        </is>
      </c>
      <c r="D44" s="8" t="n">
        <v>2</v>
      </c>
      <c r="E44" s="8" t="n">
        <v>2</v>
      </c>
      <c r="F44" s="8" t="n">
        <v>2</v>
      </c>
      <c r="G44" s="8" t="inlineStr"/>
      <c r="H44" s="8" t="n">
        <v>2</v>
      </c>
      <c r="I44" s="8" t="n">
        <v>0</v>
      </c>
      <c r="J44" s="8" t="inlineStr">
        <is>
          <t>contacted</t>
        </is>
      </c>
      <c r="K44" s="8" t="inlineStr">
        <is>
          <t>First Contact date present</t>
        </is>
      </c>
      <c r="L44" s="8" t="n">
        <v>0</v>
      </c>
      <c r="M44" s="8" t="n">
        <v>0</v>
      </c>
      <c r="N44" s="15" t="inlineStr">
        <is>
          <t>Pass</t>
        </is>
      </c>
      <c r="O44" s="8" t="inlineStr"/>
    </row>
    <row r="45">
      <c r="A45" s="8" t="n">
        <v>44</v>
      </c>
      <c r="B45" s="8" t="inlineStr">
        <is>
          <t>Source &amp; Channel</t>
        </is>
      </c>
      <c r="C45" s="8" t="inlineStr">
        <is>
          <t>Performance by Lead Source › Hospitality Channels › Qualified</t>
        </is>
      </c>
      <c r="D45" s="8" t="n">
        <v>2</v>
      </c>
      <c r="E45" s="8" t="n">
        <v>2</v>
      </c>
      <c r="F45" s="8" t="n">
        <v>2</v>
      </c>
      <c r="G45" s="8" t="inlineStr"/>
      <c r="H45" s="8" t="n">
        <v>2</v>
      </c>
      <c r="I45" s="8" t="n">
        <v>0</v>
      </c>
      <c r="J45" s="8" t="inlineStr">
        <is>
          <t>qualified</t>
        </is>
      </c>
      <c r="K45" s="8" t="inlineStr">
        <is>
          <t>Qualified date present</t>
        </is>
      </c>
      <c r="L45" s="8" t="n">
        <v>0</v>
      </c>
      <c r="M45" s="8" t="n">
        <v>0</v>
      </c>
      <c r="N45" s="15" t="inlineStr">
        <is>
          <t>Pass</t>
        </is>
      </c>
      <c r="O45" s="8" t="inlineStr"/>
    </row>
    <row r="46">
      <c r="A46" s="8" t="n">
        <v>45</v>
      </c>
      <c r="B46" s="8" t="inlineStr">
        <is>
          <t>Source &amp; Channel</t>
        </is>
      </c>
      <c r="C46" s="8" t="inlineStr">
        <is>
          <t>Performance by Lead Source › Hospitality Channels › Opportunity</t>
        </is>
      </c>
      <c r="D46" s="8" t="n">
        <v>2</v>
      </c>
      <c r="E46" s="8" t="n">
        <v>2</v>
      </c>
      <c r="F46" s="8" t="n">
        <v>2</v>
      </c>
      <c r="G46" s="8" t="inlineStr"/>
      <c r="H46" s="8" t="n">
        <v>2</v>
      </c>
      <c r="I46" s="8" t="n">
        <v>0</v>
      </c>
      <c r="J46" s="8" t="inlineStr">
        <is>
          <t>converted</t>
        </is>
      </c>
      <c r="K46" s="8" t="inlineStr">
        <is>
          <t>Status Converted / Opportunity Created</t>
        </is>
      </c>
      <c r="L46" s="8" t="n">
        <v>0</v>
      </c>
      <c r="M46" s="8" t="n">
        <v>0</v>
      </c>
      <c r="N46" s="15" t="inlineStr">
        <is>
          <t>Pass</t>
        </is>
      </c>
      <c r="O46" s="8" t="inlineStr"/>
    </row>
    <row r="47">
      <c r="A47" s="8" t="n">
        <v>46</v>
      </c>
      <c r="B47" s="8" t="inlineStr">
        <is>
          <t>Source &amp; Channel</t>
        </is>
      </c>
      <c r="C47" s="8" t="inlineStr">
        <is>
          <t>Performance by Lead Source › Hospitality Channels › Reserved</t>
        </is>
      </c>
      <c r="D47" s="8" t="n">
        <v>1</v>
      </c>
      <c r="E47" s="8" t="n">
        <v>1</v>
      </c>
      <c r="F47" s="8" t="n">
        <v>1</v>
      </c>
      <c r="G47" s="8" t="inlineStr"/>
      <c r="H47" s="8" t="n">
        <v>1</v>
      </c>
      <c r="I47" s="8" t="n">
        <v>0</v>
      </c>
      <c r="J47" s="8" t="inlineStr">
        <is>
          <t>reserved</t>
        </is>
      </c>
      <c r="K47" s="8" t="inlineStr">
        <is>
          <t>Status Converted / Opportunity Created (reservation not shown in list)</t>
        </is>
      </c>
      <c r="L47" s="8" t="n">
        <v>0</v>
      </c>
      <c r="M47" s="8" t="n">
        <v>0</v>
      </c>
      <c r="N47" s="15" t="inlineStr">
        <is>
          <t>Pass</t>
        </is>
      </c>
      <c r="O47" s="8" t="inlineStr"/>
    </row>
    <row r="48">
      <c r="A48" s="8" t="n">
        <v>47</v>
      </c>
      <c r="B48" s="8" t="inlineStr">
        <is>
          <t>Source &amp; Channel</t>
        </is>
      </c>
      <c r="C48" s="8" t="inlineStr">
        <is>
          <t>Performance by Lead Source › Hospitality Channels › SPA Signed</t>
        </is>
      </c>
      <c r="D48" s="8" t="n">
        <v>1</v>
      </c>
      <c r="E48" s="8" t="n">
        <v>1</v>
      </c>
      <c r="F48" s="8" t="n">
        <v>1</v>
      </c>
      <c r="G48" s="8" t="inlineStr"/>
      <c r="H48" s="8" t="n">
        <v>1</v>
      </c>
      <c r="I48" s="8" t="n">
        <v>0</v>
      </c>
      <c r="J48" s="8" t="inlineStr">
        <is>
          <t>won</t>
        </is>
      </c>
      <c r="K48" s="8" t="inlineStr">
        <is>
          <t>Won Value &gt; 0</t>
        </is>
      </c>
      <c r="L48" s="8" t="n">
        <v>0</v>
      </c>
      <c r="M48" s="8" t="n">
        <v>0</v>
      </c>
      <c r="N48" s="15" t="inlineStr">
        <is>
          <t>Pass</t>
        </is>
      </c>
      <c r="O48" s="8" t="inlineStr"/>
    </row>
    <row r="49">
      <c r="A49" s="8" t="n">
        <v>48</v>
      </c>
      <c r="B49" s="8" t="inlineStr">
        <is>
          <t>Source &amp; Channel</t>
        </is>
      </c>
      <c r="C49" s="8" t="inlineStr">
        <is>
          <t>Performance by Lead Source › Strategic Partners › Leads</t>
        </is>
      </c>
      <c r="D49" s="8" t="n">
        <v>2</v>
      </c>
      <c r="E49" s="8" t="n">
        <v>2</v>
      </c>
      <c r="F49" s="8" t="n">
        <v>2</v>
      </c>
      <c r="G49" s="8" t="inlineStr"/>
      <c r="H49" s="8" t="n">
        <v>2</v>
      </c>
      <c r="I49" s="8" t="n">
        <v>0</v>
      </c>
      <c r="J49" s="8" t="inlineStr">
        <is>
          <t>captured</t>
        </is>
      </c>
      <c r="K49" s="8" t="inlineStr">
        <is>
          <t>Captured date present</t>
        </is>
      </c>
      <c r="L49" s="8" t="n">
        <v>0</v>
      </c>
      <c r="M49" s="8" t="n">
        <v>0</v>
      </c>
      <c r="N49" s="15" t="inlineStr">
        <is>
          <t>Pass</t>
        </is>
      </c>
      <c r="O49" s="8" t="inlineStr"/>
    </row>
    <row r="50">
      <c r="A50" s="8" t="n">
        <v>49</v>
      </c>
      <c r="B50" s="8" t="inlineStr">
        <is>
          <t>Source &amp; Channel</t>
        </is>
      </c>
      <c r="C50" s="8" t="inlineStr">
        <is>
          <t>Performance by Lead Source › Strategic Partners › Contacted</t>
        </is>
      </c>
      <c r="D50" s="8" t="n">
        <v>2</v>
      </c>
      <c r="E50" s="8" t="n">
        <v>2</v>
      </c>
      <c r="F50" s="8" t="n">
        <v>2</v>
      </c>
      <c r="G50" s="8" t="inlineStr"/>
      <c r="H50" s="8" t="n">
        <v>2</v>
      </c>
      <c r="I50" s="8" t="n">
        <v>0</v>
      </c>
      <c r="J50" s="8" t="inlineStr">
        <is>
          <t>contacted</t>
        </is>
      </c>
      <c r="K50" s="8" t="inlineStr">
        <is>
          <t>First Contact date present</t>
        </is>
      </c>
      <c r="L50" s="8" t="n">
        <v>0</v>
      </c>
      <c r="M50" s="8" t="n">
        <v>0</v>
      </c>
      <c r="N50" s="15" t="inlineStr">
        <is>
          <t>Pass</t>
        </is>
      </c>
      <c r="O50" s="8" t="inlineStr"/>
    </row>
    <row r="51">
      <c r="A51" s="8" t="n">
        <v>50</v>
      </c>
      <c r="B51" s="8" t="inlineStr">
        <is>
          <t>Source &amp; Channel</t>
        </is>
      </c>
      <c r="C51" s="8" t="inlineStr">
        <is>
          <t>Performance by Lead Source › Strategic Partners › Qualified</t>
        </is>
      </c>
      <c r="D51" s="8" t="n">
        <v>2</v>
      </c>
      <c r="E51" s="8" t="n">
        <v>2</v>
      </c>
      <c r="F51" s="8" t="n">
        <v>2</v>
      </c>
      <c r="G51" s="8" t="inlineStr"/>
      <c r="H51" s="8" t="n">
        <v>2</v>
      </c>
      <c r="I51" s="8" t="n">
        <v>0</v>
      </c>
      <c r="J51" s="8" t="inlineStr">
        <is>
          <t>qualified</t>
        </is>
      </c>
      <c r="K51" s="8" t="inlineStr">
        <is>
          <t>Qualified date present</t>
        </is>
      </c>
      <c r="L51" s="8" t="n">
        <v>0</v>
      </c>
      <c r="M51" s="8" t="n">
        <v>0</v>
      </c>
      <c r="N51" s="15" t="inlineStr">
        <is>
          <t>Pass</t>
        </is>
      </c>
      <c r="O51" s="8" t="inlineStr"/>
    </row>
    <row r="52">
      <c r="A52" s="8" t="n">
        <v>51</v>
      </c>
      <c r="B52" s="8" t="inlineStr">
        <is>
          <t>Source &amp; Channel</t>
        </is>
      </c>
      <c r="C52" s="8" t="inlineStr">
        <is>
          <t>Performance by Lead Source › Strategic Partners › Opportunity</t>
        </is>
      </c>
      <c r="D52" s="8" t="n">
        <v>2</v>
      </c>
      <c r="E52" s="8" t="n">
        <v>2</v>
      </c>
      <c r="F52" s="8" t="n">
        <v>2</v>
      </c>
      <c r="G52" s="8" t="inlineStr"/>
      <c r="H52" s="8" t="n">
        <v>2</v>
      </c>
      <c r="I52" s="8" t="n">
        <v>0</v>
      </c>
      <c r="J52" s="8" t="inlineStr">
        <is>
          <t>converted</t>
        </is>
      </c>
      <c r="K52" s="8" t="inlineStr">
        <is>
          <t>Status Converted / Opportunity Created</t>
        </is>
      </c>
      <c r="L52" s="8" t="n">
        <v>0</v>
      </c>
      <c r="M52" s="8" t="n">
        <v>0</v>
      </c>
      <c r="N52" s="15" t="inlineStr">
        <is>
          <t>Pass</t>
        </is>
      </c>
      <c r="O52" s="8" t="inlineStr"/>
    </row>
    <row r="53">
      <c r="A53" s="8" t="n">
        <v>52</v>
      </c>
      <c r="B53" s="8" t="inlineStr">
        <is>
          <t>Source &amp; Channel</t>
        </is>
      </c>
      <c r="C53" s="8" t="inlineStr">
        <is>
          <t>Performance by Lead Source › Strategic Partners › Reserved</t>
        </is>
      </c>
      <c r="D53" s="8" t="n">
        <v>2</v>
      </c>
      <c r="E53" s="8" t="n">
        <v>2</v>
      </c>
      <c r="F53" s="8" t="n">
        <v>2</v>
      </c>
      <c r="G53" s="8" t="inlineStr"/>
      <c r="H53" s="8" t="n">
        <v>2</v>
      </c>
      <c r="I53" s="8" t="n">
        <v>0</v>
      </c>
      <c r="J53" s="8" t="inlineStr">
        <is>
          <t>reserved</t>
        </is>
      </c>
      <c r="K53" s="8" t="inlineStr">
        <is>
          <t>Status Converted / Opportunity Created (reservation not shown in list)</t>
        </is>
      </c>
      <c r="L53" s="8" t="n">
        <v>0</v>
      </c>
      <c r="M53" s="8" t="n">
        <v>0</v>
      </c>
      <c r="N53" s="15" t="inlineStr">
        <is>
          <t>Pass</t>
        </is>
      </c>
      <c r="O53" s="8" t="inlineStr"/>
    </row>
    <row r="54">
      <c r="A54" s="8" t="n">
        <v>53</v>
      </c>
      <c r="B54" s="8" t="inlineStr">
        <is>
          <t>Source &amp; Channel</t>
        </is>
      </c>
      <c r="C54" s="8" t="inlineStr">
        <is>
          <t>Performance by Lead Source › Events &amp; Exhibitions › Leads</t>
        </is>
      </c>
      <c r="D54" s="8" t="n">
        <v>1</v>
      </c>
      <c r="E54" s="8" t="n">
        <v>1</v>
      </c>
      <c r="F54" s="8" t="n">
        <v>1</v>
      </c>
      <c r="G54" s="8" t="inlineStr"/>
      <c r="H54" s="8" t="n">
        <v>1</v>
      </c>
      <c r="I54" s="8" t="n">
        <v>0</v>
      </c>
      <c r="J54" s="8" t="inlineStr">
        <is>
          <t>captured</t>
        </is>
      </c>
      <c r="K54" s="8" t="inlineStr">
        <is>
          <t>Captured date present</t>
        </is>
      </c>
      <c r="L54" s="8" t="n">
        <v>0</v>
      </c>
      <c r="M54" s="8" t="n">
        <v>0</v>
      </c>
      <c r="N54" s="15" t="inlineStr">
        <is>
          <t>Pass</t>
        </is>
      </c>
      <c r="O54" s="8" t="inlineStr"/>
    </row>
    <row r="55">
      <c r="A55" s="8" t="n">
        <v>54</v>
      </c>
      <c r="B55" s="8" t="inlineStr">
        <is>
          <t>Source &amp; Channel</t>
        </is>
      </c>
      <c r="C55" s="8" t="inlineStr">
        <is>
          <t>Performance by Lead Source › Events &amp; Exhibitions › Contacted</t>
        </is>
      </c>
      <c r="D55" s="8" t="n">
        <v>1</v>
      </c>
      <c r="E55" s="8" t="n">
        <v>1</v>
      </c>
      <c r="F55" s="8" t="n">
        <v>1</v>
      </c>
      <c r="G55" s="8" t="inlineStr"/>
      <c r="H55" s="8" t="n">
        <v>1</v>
      </c>
      <c r="I55" s="8" t="n">
        <v>0</v>
      </c>
      <c r="J55" s="8" t="inlineStr">
        <is>
          <t>contacted</t>
        </is>
      </c>
      <c r="K55" s="8" t="inlineStr">
        <is>
          <t>First Contact date present</t>
        </is>
      </c>
      <c r="L55" s="8" t="n">
        <v>0</v>
      </c>
      <c r="M55" s="8" t="n">
        <v>0</v>
      </c>
      <c r="N55" s="15" t="inlineStr">
        <is>
          <t>Pass</t>
        </is>
      </c>
      <c r="O55" s="8" t="inlineStr"/>
    </row>
    <row r="56">
      <c r="A56" s="8" t="n">
        <v>55</v>
      </c>
      <c r="B56" s="8" t="inlineStr">
        <is>
          <t>Source &amp; Channel</t>
        </is>
      </c>
      <c r="C56" s="8" t="inlineStr">
        <is>
          <t>Performance by Lead Source › Events &amp; Exhibitions › Qualified</t>
        </is>
      </c>
      <c r="D56" s="8" t="n">
        <v>1</v>
      </c>
      <c r="E56" s="8" t="n">
        <v>1</v>
      </c>
      <c r="F56" s="8" t="n">
        <v>1</v>
      </c>
      <c r="G56" s="8" t="inlineStr"/>
      <c r="H56" s="8" t="n">
        <v>1</v>
      </c>
      <c r="I56" s="8" t="n">
        <v>0</v>
      </c>
      <c r="J56" s="8" t="inlineStr">
        <is>
          <t>qualified</t>
        </is>
      </c>
      <c r="K56" s="8" t="inlineStr">
        <is>
          <t>Qualified date present</t>
        </is>
      </c>
      <c r="L56" s="8" t="n">
        <v>0</v>
      </c>
      <c r="M56" s="8" t="n">
        <v>0</v>
      </c>
      <c r="N56" s="15" t="inlineStr">
        <is>
          <t>Pass</t>
        </is>
      </c>
      <c r="O56" s="8" t="inlineStr"/>
    </row>
    <row r="57">
      <c r="A57" s="8" t="n">
        <v>56</v>
      </c>
      <c r="B57" s="8" t="inlineStr">
        <is>
          <t>Source &amp; Channel</t>
        </is>
      </c>
      <c r="C57" s="8" t="inlineStr">
        <is>
          <t>Performance by Lead Source › Events &amp; Exhibitions › Opportunity</t>
        </is>
      </c>
      <c r="D57" s="8" t="n">
        <v>1</v>
      </c>
      <c r="E57" s="8" t="n">
        <v>1</v>
      </c>
      <c r="F57" s="8" t="n">
        <v>1</v>
      </c>
      <c r="G57" s="8" t="inlineStr"/>
      <c r="H57" s="8" t="n">
        <v>1</v>
      </c>
      <c r="I57" s="8" t="n">
        <v>0</v>
      </c>
      <c r="J57" s="8" t="inlineStr">
        <is>
          <t>converted</t>
        </is>
      </c>
      <c r="K57" s="8" t="inlineStr">
        <is>
          <t>Status Converted / Opportunity Created</t>
        </is>
      </c>
      <c r="L57" s="8" t="n">
        <v>0</v>
      </c>
      <c r="M57" s="8" t="n">
        <v>0</v>
      </c>
      <c r="N57" s="15" t="inlineStr">
        <is>
          <t>Pass</t>
        </is>
      </c>
      <c r="O57" s="8" t="inlineStr"/>
    </row>
    <row r="58">
      <c r="A58" s="8" t="n">
        <v>57</v>
      </c>
      <c r="B58" s="8" t="inlineStr">
        <is>
          <t>Source &amp; Channel</t>
        </is>
      </c>
      <c r="C58" s="8" t="inlineStr">
        <is>
          <t>Performance by Lead Source › Events &amp; Exhibitions › Reserved</t>
        </is>
      </c>
      <c r="D58" s="8" t="n">
        <v>1</v>
      </c>
      <c r="E58" s="8" t="n">
        <v>1</v>
      </c>
      <c r="F58" s="8" t="n">
        <v>1</v>
      </c>
      <c r="G58" s="8" t="inlineStr"/>
      <c r="H58" s="8" t="n">
        <v>1</v>
      </c>
      <c r="I58" s="8" t="n">
        <v>0</v>
      </c>
      <c r="J58" s="8" t="inlineStr">
        <is>
          <t>reserved</t>
        </is>
      </c>
      <c r="K58" s="8" t="inlineStr">
        <is>
          <t>Status Converted / Opportunity Created (reservation not shown in list)</t>
        </is>
      </c>
      <c r="L58" s="8" t="n">
        <v>0</v>
      </c>
      <c r="M58" s="8" t="n">
        <v>0</v>
      </c>
      <c r="N58" s="15" t="inlineStr">
        <is>
          <t>Pass</t>
        </is>
      </c>
      <c r="O58" s="8" t="inlineStr"/>
    </row>
    <row r="59">
      <c r="A59" s="8" t="n">
        <v>58</v>
      </c>
      <c r="B59" s="8" t="inlineStr">
        <is>
          <t>Source &amp; Channel</t>
        </is>
      </c>
      <c r="C59" s="8" t="inlineStr">
        <is>
          <t>Performance by Lead Source › Referrals › Leads</t>
        </is>
      </c>
      <c r="D59" s="8" t="n">
        <v>1</v>
      </c>
      <c r="E59" s="8" t="n">
        <v>1</v>
      </c>
      <c r="F59" s="8" t="n">
        <v>1</v>
      </c>
      <c r="G59" s="8" t="inlineStr"/>
      <c r="H59" s="8" t="n">
        <v>1</v>
      </c>
      <c r="I59" s="8" t="n">
        <v>0</v>
      </c>
      <c r="J59" s="8" t="inlineStr">
        <is>
          <t>captured</t>
        </is>
      </c>
      <c r="K59" s="8" t="inlineStr">
        <is>
          <t>Captured date present</t>
        </is>
      </c>
      <c r="L59" s="8" t="n">
        <v>0</v>
      </c>
      <c r="M59" s="8" t="n">
        <v>0</v>
      </c>
      <c r="N59" s="15" t="inlineStr">
        <is>
          <t>Pass</t>
        </is>
      </c>
      <c r="O59" s="8" t="inlineStr"/>
    </row>
    <row r="60">
      <c r="A60" s="8" t="n">
        <v>59</v>
      </c>
      <c r="B60" s="8" t="inlineStr">
        <is>
          <t>Source &amp; Channel</t>
        </is>
      </c>
      <c r="C60" s="8" t="inlineStr">
        <is>
          <t>Performance by Lead Source › Referrals › Contacted</t>
        </is>
      </c>
      <c r="D60" s="8" t="n">
        <v>1</v>
      </c>
      <c r="E60" s="8" t="n">
        <v>1</v>
      </c>
      <c r="F60" s="8" t="n">
        <v>1</v>
      </c>
      <c r="G60" s="8" t="inlineStr"/>
      <c r="H60" s="8" t="n">
        <v>1</v>
      </c>
      <c r="I60" s="8" t="n">
        <v>0</v>
      </c>
      <c r="J60" s="8" t="inlineStr">
        <is>
          <t>contacted</t>
        </is>
      </c>
      <c r="K60" s="8" t="inlineStr">
        <is>
          <t>First Contact date present</t>
        </is>
      </c>
      <c r="L60" s="8" t="n">
        <v>0</v>
      </c>
      <c r="M60" s="8" t="n">
        <v>0</v>
      </c>
      <c r="N60" s="15" t="inlineStr">
        <is>
          <t>Pass</t>
        </is>
      </c>
      <c r="O60" s="8" t="inlineStr"/>
    </row>
    <row r="61">
      <c r="A61" s="8" t="n">
        <v>60</v>
      </c>
      <c r="B61" s="8" t="inlineStr">
        <is>
          <t>Source &amp; Channel</t>
        </is>
      </c>
      <c r="C61" s="8" t="inlineStr">
        <is>
          <t>Performance by Lead Source › Referrals › Qualified</t>
        </is>
      </c>
      <c r="D61" s="8" t="n">
        <v>1</v>
      </c>
      <c r="E61" s="8" t="n">
        <v>1</v>
      </c>
      <c r="F61" s="8" t="n">
        <v>1</v>
      </c>
      <c r="G61" s="8" t="inlineStr"/>
      <c r="H61" s="8" t="n">
        <v>1</v>
      </c>
      <c r="I61" s="8" t="n">
        <v>0</v>
      </c>
      <c r="J61" s="8" t="inlineStr">
        <is>
          <t>qualified</t>
        </is>
      </c>
      <c r="K61" s="8" t="inlineStr">
        <is>
          <t>Qualified date present</t>
        </is>
      </c>
      <c r="L61" s="8" t="n">
        <v>0</v>
      </c>
      <c r="M61" s="8" t="n">
        <v>0</v>
      </c>
      <c r="N61" s="15" t="inlineStr">
        <is>
          <t>Pass</t>
        </is>
      </c>
      <c r="O61" s="8" t="inlineStr"/>
    </row>
    <row r="62">
      <c r="A62" s="8" t="n">
        <v>61</v>
      </c>
      <c r="B62" s="8" t="inlineStr">
        <is>
          <t>Source &amp; Channel</t>
        </is>
      </c>
      <c r="C62" s="8" t="inlineStr">
        <is>
          <t>Performance by Lead Source › Referrals › Opportunity</t>
        </is>
      </c>
      <c r="D62" s="8" t="n">
        <v>1</v>
      </c>
      <c r="E62" s="8" t="n">
        <v>1</v>
      </c>
      <c r="F62" s="8" t="n">
        <v>1</v>
      </c>
      <c r="G62" s="8" t="inlineStr"/>
      <c r="H62" s="8" t="n">
        <v>1</v>
      </c>
      <c r="I62" s="8" t="n">
        <v>0</v>
      </c>
      <c r="J62" s="8" t="inlineStr">
        <is>
          <t>converted</t>
        </is>
      </c>
      <c r="K62" s="8" t="inlineStr">
        <is>
          <t>Status Converted / Opportunity Created</t>
        </is>
      </c>
      <c r="L62" s="8" t="n">
        <v>0</v>
      </c>
      <c r="M62" s="8" t="n">
        <v>0</v>
      </c>
      <c r="N62" s="15" t="inlineStr">
        <is>
          <t>Pass</t>
        </is>
      </c>
      <c r="O62" s="8" t="inlineStr"/>
    </row>
    <row r="63">
      <c r="A63" s="8" t="n">
        <v>62</v>
      </c>
      <c r="B63" s="8" t="inlineStr">
        <is>
          <t>Source &amp; Channel (Capture Channel)</t>
        </is>
      </c>
      <c r="C63" s="8" t="inlineStr">
        <is>
          <t>Performance by Capture Channel › Unspecified › Leads</t>
        </is>
      </c>
      <c r="D63" s="8" t="n">
        <v>587</v>
      </c>
      <c r="E63" s="8" t="n">
        <v>587</v>
      </c>
      <c r="F63" s="8" t="n">
        <v>500</v>
      </c>
      <c r="G63" s="8" t="inlineStr">
        <is>
          <t>Yes</t>
        </is>
      </c>
      <c r="H63" s="8" t="n">
        <v>587</v>
      </c>
      <c r="I63" s="8" t="n">
        <v>0</v>
      </c>
      <c r="J63" s="8" t="inlineStr">
        <is>
          <t>captured</t>
        </is>
      </c>
      <c r="K63" s="8" t="inlineStr">
        <is>
          <t>Captured date present</t>
        </is>
      </c>
      <c r="L63" s="8" t="n">
        <v>0</v>
      </c>
      <c r="M63" s="8" t="n">
        <v>0</v>
      </c>
      <c r="N63" s="15" t="inlineStr">
        <is>
          <t>Pass</t>
        </is>
      </c>
      <c r="O63" s="8" t="inlineStr"/>
    </row>
    <row r="64">
      <c r="A64" s="8" t="n">
        <v>63</v>
      </c>
      <c r="B64" s="8" t="inlineStr">
        <is>
          <t>Source &amp; Channel (Capture Channel)</t>
        </is>
      </c>
      <c r="C64" s="8" t="inlineStr">
        <is>
          <t>Performance by Capture Channel › Google Ads › Leads</t>
        </is>
      </c>
      <c r="D64" s="8" t="n">
        <v>5</v>
      </c>
      <c r="E64" s="8" t="n">
        <v>5</v>
      </c>
      <c r="F64" s="8" t="n">
        <v>5</v>
      </c>
      <c r="G64" s="8" t="inlineStr"/>
      <c r="H64" s="8" t="n">
        <v>5</v>
      </c>
      <c r="I64" s="8" t="n">
        <v>0</v>
      </c>
      <c r="J64" s="8" t="inlineStr">
        <is>
          <t>captured</t>
        </is>
      </c>
      <c r="K64" s="8" t="inlineStr">
        <is>
          <t>Captured date present</t>
        </is>
      </c>
      <c r="L64" s="8" t="n">
        <v>0</v>
      </c>
      <c r="M64" s="8" t="n">
        <v>0</v>
      </c>
      <c r="N64" s="15" t="inlineStr">
        <is>
          <t>Pass</t>
        </is>
      </c>
      <c r="O64" s="8" t="inlineStr"/>
    </row>
    <row r="65">
      <c r="A65" s="8" t="n">
        <v>64</v>
      </c>
      <c r="B65" s="8" t="inlineStr">
        <is>
          <t>Source &amp; Channel (Capture Channel)</t>
        </is>
      </c>
      <c r="C65" s="8" t="inlineStr">
        <is>
          <t>Performance by Capture Channel › WhatsApp › Leads</t>
        </is>
      </c>
      <c r="D65" s="8" t="n">
        <v>5</v>
      </c>
      <c r="E65" s="8" t="n">
        <v>5</v>
      </c>
      <c r="F65" s="8" t="n">
        <v>5</v>
      </c>
      <c r="G65" s="8" t="inlineStr"/>
      <c r="H65" s="8" t="n">
        <v>5</v>
      </c>
      <c r="I65" s="8" t="n">
        <v>0</v>
      </c>
      <c r="J65" s="8" t="inlineStr">
        <is>
          <t>captured</t>
        </is>
      </c>
      <c r="K65" s="8" t="inlineStr">
        <is>
          <t>Captured date present</t>
        </is>
      </c>
      <c r="L65" s="8" t="n">
        <v>0</v>
      </c>
      <c r="M65" s="8" t="n">
        <v>0</v>
      </c>
      <c r="N65" s="15" t="inlineStr">
        <is>
          <t>Pass</t>
        </is>
      </c>
      <c r="O65" s="8" t="inlineStr"/>
    </row>
    <row r="66">
      <c r="A66" s="8" t="n">
        <v>65</v>
      </c>
      <c r="B66" s="8" t="inlineStr">
        <is>
          <t>Source &amp; Channel (Capture Channel)</t>
        </is>
      </c>
      <c r="C66" s="8" t="inlineStr">
        <is>
          <t>Performance by Capture Channel › Google Search › Leads</t>
        </is>
      </c>
      <c r="D66" s="8" t="n">
        <v>3</v>
      </c>
      <c r="E66" s="8" t="n">
        <v>3</v>
      </c>
      <c r="F66" s="8" t="n">
        <v>3</v>
      </c>
      <c r="G66" s="8" t="inlineStr"/>
      <c r="H66" s="8" t="n">
        <v>3</v>
      </c>
      <c r="I66" s="8" t="n">
        <v>0</v>
      </c>
      <c r="J66" s="8" t="inlineStr">
        <is>
          <t>captured</t>
        </is>
      </c>
      <c r="K66" s="8" t="inlineStr">
        <is>
          <t>Captured date present</t>
        </is>
      </c>
      <c r="L66" s="8" t="n">
        <v>0</v>
      </c>
      <c r="M66" s="8" t="n">
        <v>0</v>
      </c>
      <c r="N66" s="15" t="inlineStr">
        <is>
          <t>Pass</t>
        </is>
      </c>
      <c r="O66" s="8" t="inlineStr"/>
    </row>
    <row r="67">
      <c r="A67" s="8" t="n">
        <v>66</v>
      </c>
      <c r="B67" s="8" t="inlineStr">
        <is>
          <t>Source &amp; Channel (Capture Channel)</t>
        </is>
      </c>
      <c r="C67" s="8" t="inlineStr">
        <is>
          <t>Performance by Capture Channel › Hotel Guest Referral › Leads</t>
        </is>
      </c>
      <c r="D67" s="8" t="n">
        <v>2</v>
      </c>
      <c r="E67" s="8" t="n">
        <v>2</v>
      </c>
      <c r="F67" s="8" t="n">
        <v>2</v>
      </c>
      <c r="G67" s="8" t="inlineStr"/>
      <c r="H67" s="8" t="n">
        <v>2</v>
      </c>
      <c r="I67" s="8" t="n">
        <v>0</v>
      </c>
      <c r="J67" s="8" t="inlineStr">
        <is>
          <t>captured</t>
        </is>
      </c>
      <c r="K67" s="8" t="inlineStr">
        <is>
          <t>Captured date present</t>
        </is>
      </c>
      <c r="L67" s="8" t="n">
        <v>0</v>
      </c>
      <c r="M67" s="8" t="n">
        <v>0</v>
      </c>
      <c r="N67" s="15" t="inlineStr">
        <is>
          <t>Pass</t>
        </is>
      </c>
      <c r="O67" s="8" t="inlineStr"/>
    </row>
    <row r="68">
      <c r="A68" s="8" t="n">
        <v>67</v>
      </c>
      <c r="B68" s="8" t="inlineStr">
        <is>
          <t>Source &amp; Channel (Capture Channel)</t>
        </is>
      </c>
      <c r="C68" s="8" t="inlineStr">
        <is>
          <t>Performance by Capture Channel › International Broker › Leads</t>
        </is>
      </c>
      <c r="D68" s="8" t="n">
        <v>2</v>
      </c>
      <c r="E68" s="8" t="n">
        <v>2</v>
      </c>
      <c r="F68" s="8" t="n">
        <v>2</v>
      </c>
      <c r="G68" s="8" t="inlineStr"/>
      <c r="H68" s="8" t="n">
        <v>2</v>
      </c>
      <c r="I68" s="8" t="n">
        <v>0</v>
      </c>
      <c r="J68" s="8" t="inlineStr">
        <is>
          <t>captured</t>
        </is>
      </c>
      <c r="K68" s="8" t="inlineStr">
        <is>
          <t>Captured date present</t>
        </is>
      </c>
      <c r="L68" s="8" t="n">
        <v>0</v>
      </c>
      <c r="M68" s="8" t="n">
        <v>0</v>
      </c>
      <c r="N68" s="15" t="inlineStr">
        <is>
          <t>Pass</t>
        </is>
      </c>
      <c r="O68" s="8" t="inlineStr"/>
    </row>
    <row r="69">
      <c r="A69" s="8" t="n">
        <v>68</v>
      </c>
      <c r="B69" s="8" t="inlineStr">
        <is>
          <t>Source &amp; Channel (Capture Channel)</t>
        </is>
      </c>
      <c r="C69" s="8" t="inlineStr">
        <is>
          <t>Performance by Capture Channel › Property Finder › Leads</t>
        </is>
      </c>
      <c r="D69" s="8" t="n">
        <v>2</v>
      </c>
      <c r="E69" s="8" t="n">
        <v>2</v>
      </c>
      <c r="F69" s="8" t="n">
        <v>2</v>
      </c>
      <c r="G69" s="8" t="inlineStr"/>
      <c r="H69" s="8" t="n">
        <v>2</v>
      </c>
      <c r="I69" s="8" t="n">
        <v>0</v>
      </c>
      <c r="J69" s="8" t="inlineStr">
        <is>
          <t>captured</t>
        </is>
      </c>
      <c r="K69" s="8" t="inlineStr">
        <is>
          <t>Captured date present</t>
        </is>
      </c>
      <c r="L69" s="8" t="n">
        <v>0</v>
      </c>
      <c r="M69" s="8" t="n">
        <v>0</v>
      </c>
      <c r="N69" s="15" t="inlineStr">
        <is>
          <t>Pass</t>
        </is>
      </c>
      <c r="O69" s="8" t="inlineStr"/>
    </row>
    <row r="70">
      <c r="A70" s="8" t="n">
        <v>69</v>
      </c>
      <c r="B70" s="8" t="inlineStr">
        <is>
          <t>Source &amp; Channel (Capture Channel)</t>
        </is>
      </c>
      <c r="C70" s="8" t="inlineStr">
        <is>
          <t>Performance by Capture Channel › Bank Referral › Leads</t>
        </is>
      </c>
      <c r="D70" s="8" t="n">
        <v>1</v>
      </c>
      <c r="E70" s="8" t="n">
        <v>1</v>
      </c>
      <c r="F70" s="8" t="n">
        <v>1</v>
      </c>
      <c r="G70" s="8" t="inlineStr"/>
      <c r="H70" s="8" t="n">
        <v>1</v>
      </c>
      <c r="I70" s="8" t="n">
        <v>0</v>
      </c>
      <c r="J70" s="8" t="inlineStr">
        <is>
          <t>captured</t>
        </is>
      </c>
      <c r="K70" s="8" t="inlineStr">
        <is>
          <t>Captured date present</t>
        </is>
      </c>
      <c r="L70" s="8" t="n">
        <v>0</v>
      </c>
      <c r="M70" s="8" t="n">
        <v>0</v>
      </c>
      <c r="N70" s="15" t="inlineStr">
        <is>
          <t>Pass</t>
        </is>
      </c>
      <c r="O70" s="8" t="inlineStr"/>
    </row>
    <row r="71">
      <c r="A71" s="8" t="n">
        <v>70</v>
      </c>
      <c r="B71" s="8" t="inlineStr">
        <is>
          <t>Source &amp; Channel (Capture Channel)</t>
        </is>
      </c>
      <c r="C71" s="8" t="inlineStr">
        <is>
          <t>Performance by Capture Channel › Email Inquiry › Leads</t>
        </is>
      </c>
      <c r="D71" s="8" t="n">
        <v>1</v>
      </c>
      <c r="E71" s="8" t="n">
        <v>1</v>
      </c>
      <c r="F71" s="8" t="n">
        <v>1</v>
      </c>
      <c r="G71" s="8" t="inlineStr"/>
      <c r="H71" s="8" t="n">
        <v>1</v>
      </c>
      <c r="I71" s="8" t="n">
        <v>0</v>
      </c>
      <c r="J71" s="8" t="inlineStr">
        <is>
          <t>captured</t>
        </is>
      </c>
      <c r="K71" s="8" t="inlineStr">
        <is>
          <t>Captured date present</t>
        </is>
      </c>
      <c r="L71" s="8" t="n">
        <v>0</v>
      </c>
      <c r="M71" s="8" t="n">
        <v>0</v>
      </c>
      <c r="N71" s="15" t="inlineStr">
        <is>
          <t>Pass</t>
        </is>
      </c>
      <c r="O71" s="8" t="inlineStr"/>
    </row>
    <row r="72">
      <c r="A72" s="8" t="n">
        <v>71</v>
      </c>
      <c r="B72" s="8" t="inlineStr">
        <is>
          <t>Source &amp; Channel (Capture Channel)</t>
        </is>
      </c>
      <c r="C72" s="8" t="inlineStr">
        <is>
          <t>Performance by Capture Channel › Landing Page › Leads</t>
        </is>
      </c>
      <c r="D72" s="8" t="n">
        <v>1</v>
      </c>
      <c r="E72" s="8" t="n">
        <v>1</v>
      </c>
      <c r="F72" s="8" t="n">
        <v>1</v>
      </c>
      <c r="G72" s="8" t="inlineStr"/>
      <c r="H72" s="8" t="n">
        <v>1</v>
      </c>
      <c r="I72" s="8" t="n">
        <v>0</v>
      </c>
      <c r="J72" s="8" t="inlineStr">
        <is>
          <t>captured</t>
        </is>
      </c>
      <c r="K72" s="8" t="inlineStr">
        <is>
          <t>Captured date present</t>
        </is>
      </c>
      <c r="L72" s="8" t="n">
        <v>0</v>
      </c>
      <c r="M72" s="8" t="n">
        <v>0</v>
      </c>
      <c r="N72" s="15" t="inlineStr">
        <is>
          <t>Pass</t>
        </is>
      </c>
      <c r="O72" s="8" t="inlineStr"/>
    </row>
    <row r="73">
      <c r="A73" s="8" t="n">
        <v>72</v>
      </c>
      <c r="B73" s="8" t="inlineStr">
        <is>
          <t>Source &amp; Channel (Capture Channel)</t>
        </is>
      </c>
      <c r="C73" s="8" t="inlineStr">
        <is>
          <t>Performance by Capture Channel › Mortgage Provider › Leads</t>
        </is>
      </c>
      <c r="D73" s="8" t="n">
        <v>1</v>
      </c>
      <c r="E73" s="8" t="n">
        <v>1</v>
      </c>
      <c r="F73" s="8" t="n">
        <v>1</v>
      </c>
      <c r="G73" s="8" t="inlineStr"/>
      <c r="H73" s="8" t="n">
        <v>1</v>
      </c>
      <c r="I73" s="8" t="n">
        <v>0</v>
      </c>
      <c r="J73" s="8" t="inlineStr">
        <is>
          <t>captured</t>
        </is>
      </c>
      <c r="K73" s="8" t="inlineStr">
        <is>
          <t>Captured date present</t>
        </is>
      </c>
      <c r="L73" s="8" t="n">
        <v>0</v>
      </c>
      <c r="M73" s="8" t="n">
        <v>0</v>
      </c>
      <c r="N73" s="15" t="inlineStr">
        <is>
          <t>Pass</t>
        </is>
      </c>
      <c r="O73" s="8" t="inlineStr"/>
    </row>
    <row r="74">
      <c r="A74" s="8" t="n">
        <v>73</v>
      </c>
      <c r="B74" s="8" t="inlineStr">
        <is>
          <t>Source &amp; Channel (Capture Channel)</t>
        </is>
      </c>
      <c r="C74" s="8" t="inlineStr">
        <is>
          <t>Performance by Capture Channel › Property Exhibition › Leads</t>
        </is>
      </c>
      <c r="D74" s="8" t="n">
        <v>1</v>
      </c>
      <c r="E74" s="8" t="n">
        <v>1</v>
      </c>
      <c r="F74" s="8" t="n">
        <v>1</v>
      </c>
      <c r="G74" s="8" t="inlineStr"/>
      <c r="H74" s="8" t="n">
        <v>1</v>
      </c>
      <c r="I74" s="8" t="n">
        <v>0</v>
      </c>
      <c r="J74" s="8" t="inlineStr">
        <is>
          <t>captured</t>
        </is>
      </c>
      <c r="K74" s="8" t="inlineStr">
        <is>
          <t>Captured date present</t>
        </is>
      </c>
      <c r="L74" s="8" t="n">
        <v>0</v>
      </c>
      <c r="M74" s="8" t="n">
        <v>0</v>
      </c>
      <c r="N74" s="15" t="inlineStr">
        <is>
          <t>Pass</t>
        </is>
      </c>
      <c r="O74" s="8" t="inlineStr"/>
    </row>
    <row r="75">
      <c r="A75" s="8" t="n">
        <v>74</v>
      </c>
      <c r="B75" s="8" t="inlineStr">
        <is>
          <t>Source &amp; Channel (Capture Channel)</t>
        </is>
      </c>
      <c r="C75" s="8" t="inlineStr">
        <is>
          <t>Performance by Capture Channel › Real Estate Agency › Leads</t>
        </is>
      </c>
      <c r="D75" s="8" t="n">
        <v>1</v>
      </c>
      <c r="E75" s="8" t="n">
        <v>1</v>
      </c>
      <c r="F75" s="8" t="n">
        <v>1</v>
      </c>
      <c r="G75" s="8" t="inlineStr"/>
      <c r="H75" s="8" t="n">
        <v>1</v>
      </c>
      <c r="I75" s="8" t="n">
        <v>0</v>
      </c>
      <c r="J75" s="8" t="inlineStr">
        <is>
          <t>captured</t>
        </is>
      </c>
      <c r="K75" s="8" t="inlineStr">
        <is>
          <t>Captured date present</t>
        </is>
      </c>
      <c r="L75" s="8" t="n">
        <v>0</v>
      </c>
      <c r="M75" s="8" t="n">
        <v>0</v>
      </c>
      <c r="N75" s="15" t="inlineStr">
        <is>
          <t>Pass</t>
        </is>
      </c>
      <c r="O75" s="8" t="inlineStr"/>
    </row>
    <row r="76">
      <c r="A76" s="8" t="n">
        <v>75</v>
      </c>
      <c r="B76" s="8" t="inlineStr">
        <is>
          <t>Source &amp; Channel (Capture Channel)</t>
        </is>
      </c>
      <c r="C76" s="8" t="inlineStr">
        <is>
          <t>Performance by Capture Channel › SEO Organic Search › Leads</t>
        </is>
      </c>
      <c r="D76" s="8" t="n">
        <v>1</v>
      </c>
      <c r="E76" s="8" t="n">
        <v>1</v>
      </c>
      <c r="F76" s="8" t="n">
        <v>1</v>
      </c>
      <c r="G76" s="8" t="inlineStr"/>
      <c r="H76" s="8" t="n">
        <v>1</v>
      </c>
      <c r="I76" s="8" t="n">
        <v>0</v>
      </c>
      <c r="J76" s="8" t="inlineStr">
        <is>
          <t>captured</t>
        </is>
      </c>
      <c r="K76" s="8" t="inlineStr">
        <is>
          <t>Captured date present</t>
        </is>
      </c>
      <c r="L76" s="8" t="n">
        <v>0</v>
      </c>
      <c r="M76" s="8" t="n">
        <v>0</v>
      </c>
      <c r="N76" s="15" t="inlineStr">
        <is>
          <t>Pass</t>
        </is>
      </c>
      <c r="O76" s="8" t="inlineStr"/>
    </row>
    <row r="77">
      <c r="A77" s="8" t="n">
        <v>76</v>
      </c>
      <c r="B77" s="8" t="inlineStr">
        <is>
          <t>Source &amp; Channel (Campaign)</t>
        </is>
      </c>
      <c r="C77" s="8" t="inlineStr">
        <is>
          <t>Performance by Campaign › Palm Exotica Campaign 2026-06 › Leads</t>
        </is>
      </c>
      <c r="D77" s="8" t="n">
        <v>108</v>
      </c>
      <c r="E77" s="8" t="n">
        <v>108</v>
      </c>
      <c r="F77" s="8" t="n">
        <v>108</v>
      </c>
      <c r="G77" s="8" t="inlineStr"/>
      <c r="H77" s="8" t="n">
        <v>108</v>
      </c>
      <c r="I77" s="8" t="n">
        <v>0</v>
      </c>
      <c r="J77" s="8" t="inlineStr">
        <is>
          <t>captured</t>
        </is>
      </c>
      <c r="K77" s="8" t="inlineStr">
        <is>
          <t>Captured date present</t>
        </is>
      </c>
      <c r="L77" s="8" t="n">
        <v>0</v>
      </c>
      <c r="M77" s="8" t="n">
        <v>0</v>
      </c>
      <c r="N77" s="15" t="inlineStr">
        <is>
          <t>Pass</t>
        </is>
      </c>
      <c r="O77" s="8" t="inlineStr"/>
    </row>
    <row r="78">
      <c r="A78" s="8" t="n">
        <v>77</v>
      </c>
      <c r="B78" s="8" t="inlineStr">
        <is>
          <t>Source &amp; Channel (Campaign)</t>
        </is>
      </c>
      <c r="C78" s="8" t="inlineStr">
        <is>
          <t>Performance by Campaign › Palm Exotica Campaign 2026-05 › Leads</t>
        </is>
      </c>
      <c r="D78" s="8" t="n">
        <v>98</v>
      </c>
      <c r="E78" s="8" t="n">
        <v>98</v>
      </c>
      <c r="F78" s="8" t="n">
        <v>98</v>
      </c>
      <c r="G78" s="8" t="inlineStr"/>
      <c r="H78" s="8" t="n">
        <v>98</v>
      </c>
      <c r="I78" s="8" t="n">
        <v>0</v>
      </c>
      <c r="J78" s="8" t="inlineStr">
        <is>
          <t>captured</t>
        </is>
      </c>
      <c r="K78" s="8" t="inlineStr">
        <is>
          <t>Captured date present</t>
        </is>
      </c>
      <c r="L78" s="8" t="n">
        <v>0</v>
      </c>
      <c r="M78" s="8" t="n">
        <v>0</v>
      </c>
      <c r="N78" s="15" t="inlineStr">
        <is>
          <t>Pass</t>
        </is>
      </c>
      <c r="O78" s="8" t="inlineStr"/>
    </row>
    <row r="79">
      <c r="A79" s="8" t="n">
        <v>78</v>
      </c>
      <c r="B79" s="8" t="inlineStr">
        <is>
          <t>Source &amp; Channel (Campaign)</t>
        </is>
      </c>
      <c r="C79" s="8" t="inlineStr">
        <is>
          <t>Performance by Campaign › Palm Exotica Campaign 2026-04 › Leads</t>
        </is>
      </c>
      <c r="D79" s="8" t="n">
        <v>94</v>
      </c>
      <c r="E79" s="8" t="n">
        <v>94</v>
      </c>
      <c r="F79" s="8" t="n">
        <v>94</v>
      </c>
      <c r="G79" s="8" t="inlineStr"/>
      <c r="H79" s="8" t="n">
        <v>94</v>
      </c>
      <c r="I79" s="8" t="n">
        <v>0</v>
      </c>
      <c r="J79" s="8" t="inlineStr">
        <is>
          <t>captured</t>
        </is>
      </c>
      <c r="K79" s="8" t="inlineStr">
        <is>
          <t>Captured date present</t>
        </is>
      </c>
      <c r="L79" s="8" t="n">
        <v>0</v>
      </c>
      <c r="M79" s="8" t="n">
        <v>0</v>
      </c>
      <c r="N79" s="15" t="inlineStr">
        <is>
          <t>Pass</t>
        </is>
      </c>
      <c r="O79" s="8" t="inlineStr"/>
    </row>
    <row r="80">
      <c r="A80" s="8" t="n">
        <v>79</v>
      </c>
      <c r="B80" s="8" t="inlineStr">
        <is>
          <t>Source &amp; Channel (Campaign)</t>
        </is>
      </c>
      <c r="C80" s="8" t="inlineStr">
        <is>
          <t>Performance by Campaign › Palm Exotica Campaign 2026-02 › Leads</t>
        </is>
      </c>
      <c r="D80" s="8" t="n">
        <v>91</v>
      </c>
      <c r="E80" s="8" t="n">
        <v>91</v>
      </c>
      <c r="F80" s="8" t="n">
        <v>91</v>
      </c>
      <c r="G80" s="8" t="inlineStr"/>
      <c r="H80" s="8" t="n">
        <v>91</v>
      </c>
      <c r="I80" s="8" t="n">
        <v>0</v>
      </c>
      <c r="J80" s="8" t="inlineStr">
        <is>
          <t>captured</t>
        </is>
      </c>
      <c r="K80" s="8" t="inlineStr">
        <is>
          <t>Captured date present</t>
        </is>
      </c>
      <c r="L80" s="8" t="n">
        <v>0</v>
      </c>
      <c r="M80" s="8" t="n">
        <v>0</v>
      </c>
      <c r="N80" s="15" t="inlineStr">
        <is>
          <t>Pass</t>
        </is>
      </c>
      <c r="O80" s="8" t="inlineStr"/>
    </row>
    <row r="81">
      <c r="A81" s="8" t="n">
        <v>80</v>
      </c>
      <c r="B81" s="8" t="inlineStr">
        <is>
          <t>Source &amp; Channel (Campaign)</t>
        </is>
      </c>
      <c r="C81" s="8" t="inlineStr">
        <is>
          <t>Performance by Campaign › Palm Exotica Campaign 2026-03 › Leads</t>
        </is>
      </c>
      <c r="D81" s="8" t="n">
        <v>90</v>
      </c>
      <c r="E81" s="8" t="n">
        <v>90</v>
      </c>
      <c r="F81" s="8" t="n">
        <v>90</v>
      </c>
      <c r="G81" s="8" t="inlineStr"/>
      <c r="H81" s="8" t="n">
        <v>90</v>
      </c>
      <c r="I81" s="8" t="n">
        <v>0</v>
      </c>
      <c r="J81" s="8" t="inlineStr">
        <is>
          <t>captured</t>
        </is>
      </c>
      <c r="K81" s="8" t="inlineStr">
        <is>
          <t>Captured date present</t>
        </is>
      </c>
      <c r="L81" s="8" t="n">
        <v>0</v>
      </c>
      <c r="M81" s="8" t="n">
        <v>0</v>
      </c>
      <c r="N81" s="15" t="inlineStr">
        <is>
          <t>Pass</t>
        </is>
      </c>
      <c r="O81" s="8" t="inlineStr"/>
    </row>
    <row r="82">
      <c r="A82" s="8" t="n">
        <v>81</v>
      </c>
      <c r="B82" s="8" t="inlineStr">
        <is>
          <t>Source &amp; Channel (Campaign)</t>
        </is>
      </c>
      <c r="C82" s="8" t="inlineStr">
        <is>
          <t>Performance by Campaign › Palm Exotica Campaign 2026-01 › Leads</t>
        </is>
      </c>
      <c r="D82" s="8" t="n">
        <v>87</v>
      </c>
      <c r="E82" s="8" t="n">
        <v>87</v>
      </c>
      <c r="F82" s="8" t="n">
        <v>87</v>
      </c>
      <c r="G82" s="8" t="inlineStr"/>
      <c r="H82" s="8" t="n">
        <v>87</v>
      </c>
      <c r="I82" s="8" t="n">
        <v>0</v>
      </c>
      <c r="J82" s="8" t="inlineStr">
        <is>
          <t>captured</t>
        </is>
      </c>
      <c r="K82" s="8" t="inlineStr">
        <is>
          <t>Captured date present</t>
        </is>
      </c>
      <c r="L82" s="8" t="n">
        <v>0</v>
      </c>
      <c r="M82" s="8" t="n">
        <v>0</v>
      </c>
      <c r="N82" s="15" t="inlineStr">
        <is>
          <t>Pass</t>
        </is>
      </c>
      <c r="O82" s="8" t="inlineStr"/>
    </row>
    <row r="83">
      <c r="A83" s="8" t="n">
        <v>82</v>
      </c>
      <c r="B83" s="8" t="inlineStr">
        <is>
          <t>Source &amp; Channel (Campaign)</t>
        </is>
      </c>
      <c r="C83" s="8" t="inlineStr">
        <is>
          <t>Performance by Campaign › Unspecified › Leads</t>
        </is>
      </c>
      <c r="D83" s="8" t="n">
        <v>45</v>
      </c>
      <c r="E83" s="8" t="n">
        <v>45</v>
      </c>
      <c r="F83" s="8" t="n">
        <v>45</v>
      </c>
      <c r="G83" s="8" t="inlineStr"/>
      <c r="H83" s="8" t="n">
        <v>45</v>
      </c>
      <c r="I83" s="8" t="n">
        <v>0</v>
      </c>
      <c r="J83" s="8" t="inlineStr">
        <is>
          <t>captured</t>
        </is>
      </c>
      <c r="K83" s="8" t="inlineStr">
        <is>
          <t>Captured date present</t>
        </is>
      </c>
      <c r="L83" s="8" t="n">
        <v>0</v>
      </c>
      <c r="M83" s="8" t="n">
        <v>0</v>
      </c>
      <c r="N83" s="15" t="inlineStr">
        <is>
          <t>Pass</t>
        </is>
      </c>
      <c r="O83" s="8" t="inlineStr"/>
    </row>
    <row r="84">
      <c r="A84" s="8" t="n">
        <v>83</v>
      </c>
      <c r="B84" s="8" t="inlineStr">
        <is>
          <t>Source &amp; Channel (Broker)</t>
        </is>
      </c>
      <c r="C84" s="8" t="inlineStr">
        <is>
          <t>Performance by Broker › Unspecified › Leads</t>
        </is>
      </c>
      <c r="D84" s="8" t="n">
        <v>464</v>
      </c>
      <c r="E84" s="8" t="n">
        <v>464</v>
      </c>
      <c r="F84" s="8" t="n">
        <v>464</v>
      </c>
      <c r="G84" s="8" t="inlineStr"/>
      <c r="H84" s="8" t="n">
        <v>464</v>
      </c>
      <c r="I84" s="8" t="n">
        <v>0</v>
      </c>
      <c r="J84" s="8" t="inlineStr">
        <is>
          <t>captured</t>
        </is>
      </c>
      <c r="K84" s="8" t="inlineStr">
        <is>
          <t>Captured date present</t>
        </is>
      </c>
      <c r="L84" s="8" t="n">
        <v>0</v>
      </c>
      <c r="M84" s="8" t="n">
        <v>0</v>
      </c>
      <c r="N84" s="15" t="inlineStr">
        <is>
          <t>Pass</t>
        </is>
      </c>
      <c r="O84" s="8" t="inlineStr"/>
    </row>
    <row r="85">
      <c r="A85" s="8" t="n">
        <v>84</v>
      </c>
      <c r="B85" s="8" t="inlineStr">
        <is>
          <t>Source &amp; Channel (Broker)</t>
        </is>
      </c>
      <c r="C85" s="8" t="inlineStr">
        <is>
          <t>Performance by Broker › Palm Exotica Broker 1 › Leads</t>
        </is>
      </c>
      <c r="D85" s="8" t="n">
        <v>15</v>
      </c>
      <c r="E85" s="8" t="n">
        <v>15</v>
      </c>
      <c r="F85" s="8" t="n">
        <v>15</v>
      </c>
      <c r="G85" s="8" t="inlineStr"/>
      <c r="H85" s="8" t="n">
        <v>15</v>
      </c>
      <c r="I85" s="8" t="n">
        <v>0</v>
      </c>
      <c r="J85" s="8" t="inlineStr">
        <is>
          <t>captured</t>
        </is>
      </c>
      <c r="K85" s="8" t="inlineStr">
        <is>
          <t>Captured date present</t>
        </is>
      </c>
      <c r="L85" s="8" t="n">
        <v>0</v>
      </c>
      <c r="M85" s="8" t="n">
        <v>0</v>
      </c>
      <c r="N85" s="15" t="inlineStr">
        <is>
          <t>Pass</t>
        </is>
      </c>
      <c r="O85" s="8" t="inlineStr"/>
    </row>
    <row r="86">
      <c r="A86" s="8" t="n">
        <v>85</v>
      </c>
      <c r="B86" s="8" t="inlineStr">
        <is>
          <t>Source &amp; Channel (Broker)</t>
        </is>
      </c>
      <c r="C86" s="8" t="inlineStr">
        <is>
          <t>Performance by Broker › Palm Exotica Broker 10 › Leads</t>
        </is>
      </c>
      <c r="D86" s="8" t="n">
        <v>15</v>
      </c>
      <c r="E86" s="8" t="n">
        <v>15</v>
      </c>
      <c r="F86" s="8" t="n">
        <v>15</v>
      </c>
      <c r="G86" s="8" t="inlineStr"/>
      <c r="H86" s="8" t="n">
        <v>15</v>
      </c>
      <c r="I86" s="8" t="n">
        <v>0</v>
      </c>
      <c r="J86" s="8" t="inlineStr">
        <is>
          <t>captured</t>
        </is>
      </c>
      <c r="K86" s="8" t="inlineStr">
        <is>
          <t>Captured date present</t>
        </is>
      </c>
      <c r="L86" s="8" t="n">
        <v>0</v>
      </c>
      <c r="M86" s="8" t="n">
        <v>0</v>
      </c>
      <c r="N86" s="15" t="inlineStr">
        <is>
          <t>Pass</t>
        </is>
      </c>
      <c r="O86" s="8" t="inlineStr"/>
    </row>
    <row r="87">
      <c r="A87" s="8" t="n">
        <v>86</v>
      </c>
      <c r="B87" s="8" t="inlineStr">
        <is>
          <t>Source &amp; Channel (Broker)</t>
        </is>
      </c>
      <c r="C87" s="8" t="inlineStr">
        <is>
          <t>Performance by Broker › Palm Exotica Broker 2 › Leads</t>
        </is>
      </c>
      <c r="D87" s="8" t="n">
        <v>15</v>
      </c>
      <c r="E87" s="8" t="n">
        <v>15</v>
      </c>
      <c r="F87" s="8" t="n">
        <v>15</v>
      </c>
      <c r="G87" s="8" t="inlineStr"/>
      <c r="H87" s="8" t="n">
        <v>15</v>
      </c>
      <c r="I87" s="8" t="n">
        <v>0</v>
      </c>
      <c r="J87" s="8" t="inlineStr">
        <is>
          <t>captured</t>
        </is>
      </c>
      <c r="K87" s="8" t="inlineStr">
        <is>
          <t>Captured date present</t>
        </is>
      </c>
      <c r="L87" s="8" t="n">
        <v>0</v>
      </c>
      <c r="M87" s="8" t="n">
        <v>0</v>
      </c>
      <c r="N87" s="15" t="inlineStr">
        <is>
          <t>Pass</t>
        </is>
      </c>
      <c r="O87" s="8" t="inlineStr"/>
    </row>
    <row r="88">
      <c r="A88" s="8" t="n">
        <v>87</v>
      </c>
      <c r="B88" s="8" t="inlineStr">
        <is>
          <t>Source &amp; Channel (Broker)</t>
        </is>
      </c>
      <c r="C88" s="8" t="inlineStr">
        <is>
          <t>Performance by Broker › Palm Exotica Broker 3 › Leads</t>
        </is>
      </c>
      <c r="D88" s="8" t="n">
        <v>15</v>
      </c>
      <c r="E88" s="8" t="n">
        <v>15</v>
      </c>
      <c r="F88" s="8" t="n">
        <v>15</v>
      </c>
      <c r="G88" s="8" t="inlineStr"/>
      <c r="H88" s="8" t="n">
        <v>15</v>
      </c>
      <c r="I88" s="8" t="n">
        <v>0</v>
      </c>
      <c r="J88" s="8" t="inlineStr">
        <is>
          <t>captured</t>
        </is>
      </c>
      <c r="K88" s="8" t="inlineStr">
        <is>
          <t>Captured date present</t>
        </is>
      </c>
      <c r="L88" s="8" t="n">
        <v>0</v>
      </c>
      <c r="M88" s="8" t="n">
        <v>0</v>
      </c>
      <c r="N88" s="15" t="inlineStr">
        <is>
          <t>Pass</t>
        </is>
      </c>
      <c r="O88" s="8" t="inlineStr"/>
    </row>
    <row r="89">
      <c r="A89" s="8" t="n">
        <v>88</v>
      </c>
      <c r="B89" s="8" t="inlineStr">
        <is>
          <t>Source &amp; Channel (Broker)</t>
        </is>
      </c>
      <c r="C89" s="8" t="inlineStr">
        <is>
          <t>Performance by Broker › Palm Exotica Broker 5 › Leads</t>
        </is>
      </c>
      <c r="D89" s="8" t="n">
        <v>15</v>
      </c>
      <c r="E89" s="8" t="n">
        <v>15</v>
      </c>
      <c r="F89" s="8" t="n">
        <v>15</v>
      </c>
      <c r="G89" s="8" t="inlineStr"/>
      <c r="H89" s="8" t="n">
        <v>15</v>
      </c>
      <c r="I89" s="8" t="n">
        <v>0</v>
      </c>
      <c r="J89" s="8" t="inlineStr">
        <is>
          <t>captured</t>
        </is>
      </c>
      <c r="K89" s="8" t="inlineStr">
        <is>
          <t>Captured date present</t>
        </is>
      </c>
      <c r="L89" s="8" t="n">
        <v>0</v>
      </c>
      <c r="M89" s="8" t="n">
        <v>0</v>
      </c>
      <c r="N89" s="15" t="inlineStr">
        <is>
          <t>Pass</t>
        </is>
      </c>
      <c r="O89" s="8" t="inlineStr"/>
    </row>
    <row r="90">
      <c r="A90" s="8" t="n">
        <v>89</v>
      </c>
      <c r="B90" s="8" t="inlineStr">
        <is>
          <t>Source &amp; Channel (Broker)</t>
        </is>
      </c>
      <c r="C90" s="8" t="inlineStr">
        <is>
          <t>Performance by Broker › Palm Exotica Broker 6 › Leads</t>
        </is>
      </c>
      <c r="D90" s="8" t="n">
        <v>15</v>
      </c>
      <c r="E90" s="8" t="n">
        <v>15</v>
      </c>
      <c r="F90" s="8" t="n">
        <v>15</v>
      </c>
      <c r="G90" s="8" t="inlineStr"/>
      <c r="H90" s="8" t="n">
        <v>15</v>
      </c>
      <c r="I90" s="8" t="n">
        <v>0</v>
      </c>
      <c r="J90" s="8" t="inlineStr">
        <is>
          <t>captured</t>
        </is>
      </c>
      <c r="K90" s="8" t="inlineStr">
        <is>
          <t>Captured date present</t>
        </is>
      </c>
      <c r="L90" s="8" t="n">
        <v>0</v>
      </c>
      <c r="M90" s="8" t="n">
        <v>0</v>
      </c>
      <c r="N90" s="15" t="inlineStr">
        <is>
          <t>Pass</t>
        </is>
      </c>
      <c r="O90" s="8" t="inlineStr"/>
    </row>
    <row r="91">
      <c r="A91" s="8" t="n">
        <v>90</v>
      </c>
      <c r="B91" s="8" t="inlineStr">
        <is>
          <t>Source &amp; Channel (Broker)</t>
        </is>
      </c>
      <c r="C91" s="8" t="inlineStr">
        <is>
          <t>Performance by Broker › Palm Exotica Broker 7 › Leads</t>
        </is>
      </c>
      <c r="D91" s="8" t="n">
        <v>15</v>
      </c>
      <c r="E91" s="8" t="n">
        <v>15</v>
      </c>
      <c r="F91" s="8" t="n">
        <v>15</v>
      </c>
      <c r="G91" s="8" t="inlineStr"/>
      <c r="H91" s="8" t="n">
        <v>15</v>
      </c>
      <c r="I91" s="8" t="n">
        <v>0</v>
      </c>
      <c r="J91" s="8" t="inlineStr">
        <is>
          <t>captured</t>
        </is>
      </c>
      <c r="K91" s="8" t="inlineStr">
        <is>
          <t>Captured date present</t>
        </is>
      </c>
      <c r="L91" s="8" t="n">
        <v>0</v>
      </c>
      <c r="M91" s="8" t="n">
        <v>0</v>
      </c>
      <c r="N91" s="15" t="inlineStr">
        <is>
          <t>Pass</t>
        </is>
      </c>
      <c r="O91" s="8" t="inlineStr"/>
    </row>
    <row r="92">
      <c r="A92" s="8" t="n">
        <v>91</v>
      </c>
      <c r="B92" s="8" t="inlineStr">
        <is>
          <t>Source &amp; Channel (Broker)</t>
        </is>
      </c>
      <c r="C92" s="8" t="inlineStr">
        <is>
          <t>Performance by Broker › Palm Exotica Broker 8 › Leads</t>
        </is>
      </c>
      <c r="D92" s="8" t="n">
        <v>15</v>
      </c>
      <c r="E92" s="8" t="n">
        <v>15</v>
      </c>
      <c r="F92" s="8" t="n">
        <v>15</v>
      </c>
      <c r="G92" s="8" t="inlineStr"/>
      <c r="H92" s="8" t="n">
        <v>15</v>
      </c>
      <c r="I92" s="8" t="n">
        <v>0</v>
      </c>
      <c r="J92" s="8" t="inlineStr">
        <is>
          <t>captured</t>
        </is>
      </c>
      <c r="K92" s="8" t="inlineStr">
        <is>
          <t>Captured date present</t>
        </is>
      </c>
      <c r="L92" s="8" t="n">
        <v>0</v>
      </c>
      <c r="M92" s="8" t="n">
        <v>0</v>
      </c>
      <c r="N92" s="15" t="inlineStr">
        <is>
          <t>Pass</t>
        </is>
      </c>
      <c r="O92" s="8" t="inlineStr"/>
    </row>
    <row r="93">
      <c r="A93" s="8" t="n">
        <v>92</v>
      </c>
      <c r="B93" s="8" t="inlineStr">
        <is>
          <t>Source &amp; Channel (Broker)</t>
        </is>
      </c>
      <c r="C93" s="8" t="inlineStr">
        <is>
          <t>Performance by Broker › Palm Exotica Broker 9 › Leads</t>
        </is>
      </c>
      <c r="D93" s="8" t="n">
        <v>15</v>
      </c>
      <c r="E93" s="8" t="n">
        <v>15</v>
      </c>
      <c r="F93" s="8" t="n">
        <v>15</v>
      </c>
      <c r="G93" s="8" t="inlineStr"/>
      <c r="H93" s="8" t="n">
        <v>15</v>
      </c>
      <c r="I93" s="8" t="n">
        <v>0</v>
      </c>
      <c r="J93" s="8" t="inlineStr">
        <is>
          <t>captured</t>
        </is>
      </c>
      <c r="K93" s="8" t="inlineStr">
        <is>
          <t>Captured date present</t>
        </is>
      </c>
      <c r="L93" s="8" t="n">
        <v>0</v>
      </c>
      <c r="M93" s="8" t="n">
        <v>0</v>
      </c>
      <c r="N93" s="15" t="inlineStr">
        <is>
          <t>Pass</t>
        </is>
      </c>
      <c r="O93" s="8" t="inlineStr"/>
    </row>
    <row r="94">
      <c r="A94" s="8" t="n">
        <v>93</v>
      </c>
      <c r="B94" s="8" t="inlineStr">
        <is>
          <t>Source &amp; Channel (Broker)</t>
        </is>
      </c>
      <c r="C94" s="8" t="inlineStr">
        <is>
          <t>Performance by Broker › Palm Exotica Broker 4 › Leads</t>
        </is>
      </c>
      <c r="D94" s="8" t="n">
        <v>10</v>
      </c>
      <c r="E94" s="8" t="n">
        <v>10</v>
      </c>
      <c r="F94" s="8" t="n">
        <v>10</v>
      </c>
      <c r="G94" s="8" t="inlineStr"/>
      <c r="H94" s="8" t="n">
        <v>10</v>
      </c>
      <c r="I94" s="8" t="n">
        <v>0</v>
      </c>
      <c r="J94" s="8" t="inlineStr">
        <is>
          <t>captured</t>
        </is>
      </c>
      <c r="K94" s="8" t="inlineStr">
        <is>
          <t>Captured date present</t>
        </is>
      </c>
      <c r="L94" s="8" t="n">
        <v>0</v>
      </c>
      <c r="M94" s="8" t="n">
        <v>0</v>
      </c>
      <c r="N94" s="15" t="inlineStr">
        <is>
          <t>Pass</t>
        </is>
      </c>
      <c r="O94" s="8" t="inlineStr"/>
    </row>
    <row r="95">
      <c r="A95" s="8" t="n">
        <v>94</v>
      </c>
      <c r="B95" s="8" t="inlineStr">
        <is>
          <t>Source &amp; Channel (Broker)</t>
        </is>
      </c>
      <c r="C95" s="8" t="inlineStr">
        <is>
          <t>Performance by Broker › qabroker › Leads</t>
        </is>
      </c>
      <c r="D95" s="8" t="n">
        <v>3</v>
      </c>
      <c r="E95" s="8" t="n">
        <v>3</v>
      </c>
      <c r="F95" s="8" t="n">
        <v>3</v>
      </c>
      <c r="G95" s="8" t="inlineStr"/>
      <c r="H95" s="8" t="n">
        <v>3</v>
      </c>
      <c r="I95" s="8" t="n">
        <v>0</v>
      </c>
      <c r="J95" s="8" t="inlineStr">
        <is>
          <t>captured</t>
        </is>
      </c>
      <c r="K95" s="8" t="inlineStr">
        <is>
          <t>Captured date present</t>
        </is>
      </c>
      <c r="L95" s="8" t="n">
        <v>0</v>
      </c>
      <c r="M95" s="8" t="n">
        <v>0</v>
      </c>
      <c r="N95" s="15" t="inlineStr">
        <is>
          <t>Pass</t>
        </is>
      </c>
      <c r="O95" s="8" t="inlineStr"/>
    </row>
    <row r="96">
      <c r="A96" s="8" t="n">
        <v>95</v>
      </c>
      <c r="B96" s="8" t="inlineStr">
        <is>
          <t>Source &amp; Channel (Broker)</t>
        </is>
      </c>
      <c r="C96" s="8" t="inlineStr">
        <is>
          <t>Performance by Broker › mybroker › Leads</t>
        </is>
      </c>
      <c r="D96" s="8" t="n">
        <v>1</v>
      </c>
      <c r="E96" s="8" t="n">
        <v>1</v>
      </c>
      <c r="F96" s="8" t="n">
        <v>1</v>
      </c>
      <c r="G96" s="8" t="inlineStr"/>
      <c r="H96" s="8" t="n">
        <v>1</v>
      </c>
      <c r="I96" s="8" t="n">
        <v>0</v>
      </c>
      <c r="J96" s="8" t="inlineStr">
        <is>
          <t>captured</t>
        </is>
      </c>
      <c r="K96" s="8" t="inlineStr">
        <is>
          <t>Captured date present</t>
        </is>
      </c>
      <c r="L96" s="8" t="n">
        <v>0</v>
      </c>
      <c r="M96" s="8" t="n">
        <v>0</v>
      </c>
      <c r="N96" s="15" t="inlineStr">
        <is>
          <t>Pass</t>
        </is>
      </c>
      <c r="O96" s="8" t="inlineStr"/>
    </row>
    <row r="97">
      <c r="A97" s="8" t="n">
        <v>96</v>
      </c>
      <c r="B97" s="8" t="inlineStr">
        <is>
          <t>Source &amp; Channel (Salesperson)</t>
        </is>
      </c>
      <c r="C97" s="8" t="inlineStr">
        <is>
          <t>Performance by Salesperson › CRM Administrator › Leads</t>
        </is>
      </c>
      <c r="D97" s="8" t="n">
        <v>597</v>
      </c>
      <c r="E97" s="8" t="n">
        <v>597</v>
      </c>
      <c r="F97" s="8" t="n">
        <v>500</v>
      </c>
      <c r="G97" s="8" t="inlineStr">
        <is>
          <t>Yes</t>
        </is>
      </c>
      <c r="H97" s="8" t="n">
        <v>597</v>
      </c>
      <c r="I97" s="8" t="n">
        <v>0</v>
      </c>
      <c r="J97" s="8" t="inlineStr">
        <is>
          <t>captured</t>
        </is>
      </c>
      <c r="K97" s="8" t="inlineStr">
        <is>
          <t>Captured date present</t>
        </is>
      </c>
      <c r="L97" s="8" t="n">
        <v>0</v>
      </c>
      <c r="M97" s="8" t="n">
        <v>0</v>
      </c>
      <c r="N97" s="15" t="inlineStr">
        <is>
          <t>Pass</t>
        </is>
      </c>
      <c r="O97" s="8" t="inlineStr"/>
    </row>
    <row r="98">
      <c r="A98" s="8" t="n">
        <v>97</v>
      </c>
      <c r="B98" s="8" t="inlineStr">
        <is>
          <t>Source &amp; Channel (Salesperson)</t>
        </is>
      </c>
      <c r="C98" s="8" t="inlineStr">
        <is>
          <t>Performance by Salesperson › QA Lead Reviewer › Leads</t>
        </is>
      </c>
      <c r="D98" s="8" t="n">
        <v>6</v>
      </c>
      <c r="E98" s="8" t="n">
        <v>6</v>
      </c>
      <c r="F98" s="8" t="n">
        <v>6</v>
      </c>
      <c r="G98" s="8" t="inlineStr"/>
      <c r="H98" s="8" t="n">
        <v>6</v>
      </c>
      <c r="I98" s="8" t="n">
        <v>0</v>
      </c>
      <c r="J98" s="8" t="inlineStr">
        <is>
          <t>captured</t>
        </is>
      </c>
      <c r="K98" s="8" t="inlineStr">
        <is>
          <t>Captured date present</t>
        </is>
      </c>
      <c r="L98" s="8" t="n">
        <v>0</v>
      </c>
      <c r="M98" s="8" t="n">
        <v>0</v>
      </c>
      <c r="N98" s="15" t="inlineStr">
        <is>
          <t>Pass</t>
        </is>
      </c>
      <c r="O98" s="8" t="inlineStr"/>
    </row>
    <row r="99">
      <c r="A99" s="8" t="n">
        <v>98</v>
      </c>
      <c r="B99" s="8" t="inlineStr">
        <is>
          <t>Source &amp; Channel (Salesperson)</t>
        </is>
      </c>
      <c r="C99" s="8" t="inlineStr">
        <is>
          <t>Performance by Salesperson › Mahalakshmi › Leads</t>
        </is>
      </c>
      <c r="D99" s="8" t="n">
        <v>4</v>
      </c>
      <c r="E99" s="8" t="n">
        <v>4</v>
      </c>
      <c r="F99" s="8" t="n">
        <v>4</v>
      </c>
      <c r="G99" s="8" t="inlineStr"/>
      <c r="H99" s="8" t="n">
        <v>4</v>
      </c>
      <c r="I99" s="8" t="n">
        <v>0</v>
      </c>
      <c r="J99" s="8" t="inlineStr">
        <is>
          <t>captured</t>
        </is>
      </c>
      <c r="K99" s="8" t="inlineStr">
        <is>
          <t>Captured date present</t>
        </is>
      </c>
      <c r="L99" s="8" t="n">
        <v>0</v>
      </c>
      <c r="M99" s="8" t="n">
        <v>0</v>
      </c>
      <c r="N99" s="15" t="inlineStr">
        <is>
          <t>Pass</t>
        </is>
      </c>
      <c r="O99" s="8" t="inlineStr"/>
    </row>
    <row r="100">
      <c r="A100" s="8" t="n">
        <v>99</v>
      </c>
      <c r="B100" s="8" t="inlineStr">
        <is>
          <t>Source &amp; Channel (Salesperson)</t>
        </is>
      </c>
      <c r="C100" s="8" t="inlineStr">
        <is>
          <t>Performance by Salesperson › Unassigned › Leads</t>
        </is>
      </c>
      <c r="D100" s="8" t="n">
        <v>2</v>
      </c>
      <c r="E100" s="8" t="n">
        <v>2</v>
      </c>
      <c r="F100" s="8" t="n">
        <v>2</v>
      </c>
      <c r="G100" s="8" t="inlineStr"/>
      <c r="H100" s="8" t="n">
        <v>2</v>
      </c>
      <c r="I100" s="8" t="n">
        <v>0</v>
      </c>
      <c r="J100" s="8" t="inlineStr">
        <is>
          <t>captured</t>
        </is>
      </c>
      <c r="K100" s="8" t="inlineStr">
        <is>
          <t>Captured date present</t>
        </is>
      </c>
      <c r="L100" s="8" t="n">
        <v>0</v>
      </c>
      <c r="M100" s="8" t="n">
        <v>0</v>
      </c>
      <c r="N100" s="15" t="inlineStr">
        <is>
          <t>Pass</t>
        </is>
      </c>
      <c r="O100" s="8" t="inlineStr"/>
    </row>
    <row r="101">
      <c r="A101" s="8" t="n">
        <v>100</v>
      </c>
      <c r="B101" s="8" t="inlineStr">
        <is>
          <t>Source &amp; Channel (Salesperson)</t>
        </is>
      </c>
      <c r="C101" s="8" t="inlineStr">
        <is>
          <t>Performance by Salesperson › BabuRa › Leads</t>
        </is>
      </c>
      <c r="D101" s="8" t="n">
        <v>1</v>
      </c>
      <c r="E101" s="8" t="n">
        <v>1</v>
      </c>
      <c r="F101" s="8" t="n">
        <v>1</v>
      </c>
      <c r="G101" s="8" t="inlineStr"/>
      <c r="H101" s="8" t="n">
        <v>1</v>
      </c>
      <c r="I101" s="8" t="n">
        <v>0</v>
      </c>
      <c r="J101" s="8" t="inlineStr">
        <is>
          <t>captured</t>
        </is>
      </c>
      <c r="K101" s="8" t="inlineStr">
        <is>
          <t>Captured date present</t>
        </is>
      </c>
      <c r="L101" s="8" t="n">
        <v>0</v>
      </c>
      <c r="M101" s="8" t="n">
        <v>0</v>
      </c>
      <c r="N101" s="15" t="inlineStr">
        <is>
          <t>Pass</t>
        </is>
      </c>
      <c r="O101" s="8" t="inlineStr"/>
    </row>
    <row r="102">
      <c r="A102" s="8" t="n">
        <v>101</v>
      </c>
      <c r="B102" s="8" t="inlineStr">
        <is>
          <t>Source &amp; Channel (Salesperson)</t>
        </is>
      </c>
      <c r="C102" s="8" t="inlineStr">
        <is>
          <t>Performance by Salesperson › Mahalakshmi › Leads</t>
        </is>
      </c>
      <c r="D102" s="8" t="n">
        <v>1</v>
      </c>
      <c r="E102" s="8" t="n">
        <v>1</v>
      </c>
      <c r="F102" s="8" t="n">
        <v>1</v>
      </c>
      <c r="G102" s="8" t="inlineStr"/>
      <c r="H102" s="8" t="n">
        <v>1</v>
      </c>
      <c r="I102" s="8" t="n">
        <v>0</v>
      </c>
      <c r="J102" s="8" t="inlineStr">
        <is>
          <t>captured</t>
        </is>
      </c>
      <c r="K102" s="8" t="inlineStr">
        <is>
          <t>Captured date present</t>
        </is>
      </c>
      <c r="L102" s="8" t="n">
        <v>0</v>
      </c>
      <c r="M102" s="8" t="n">
        <v>0</v>
      </c>
      <c r="N102" s="15" t="inlineStr">
        <is>
          <t>Pass</t>
        </is>
      </c>
      <c r="O102" s="8" t="inlineStr"/>
    </row>
    <row r="103">
      <c r="A103" s="8" t="n">
        <v>102</v>
      </c>
      <c r="B103" s="8" t="inlineStr">
        <is>
          <t>Source &amp; Channel (Salesperson)</t>
        </is>
      </c>
      <c r="C103" s="8" t="inlineStr">
        <is>
          <t>Performance by Salesperson › QA Lead Assignee › Leads</t>
        </is>
      </c>
      <c r="D103" s="8" t="n">
        <v>1</v>
      </c>
      <c r="E103" s="8" t="n">
        <v>1</v>
      </c>
      <c r="F103" s="8" t="n">
        <v>1</v>
      </c>
      <c r="G103" s="8" t="inlineStr"/>
      <c r="H103" s="8" t="n">
        <v>1</v>
      </c>
      <c r="I103" s="8" t="n">
        <v>0</v>
      </c>
      <c r="J103" s="8" t="inlineStr">
        <is>
          <t>captured</t>
        </is>
      </c>
      <c r="K103" s="8" t="inlineStr">
        <is>
          <t>Captured date present</t>
        </is>
      </c>
      <c r="L103" s="8" t="n">
        <v>0</v>
      </c>
      <c r="M103" s="8" t="n">
        <v>0</v>
      </c>
      <c r="N103" s="15" t="inlineStr">
        <is>
          <t>Pass</t>
        </is>
      </c>
      <c r="O103" s="8" t="inlineStr"/>
    </row>
    <row r="104">
      <c r="A104" s="8" t="n">
        <v>103</v>
      </c>
      <c r="B104" s="8" t="inlineStr">
        <is>
          <t>Source &amp; Channel (Salesperson)</t>
        </is>
      </c>
      <c r="C104" s="8" t="inlineStr">
        <is>
          <t>Performance by Salesperson › QA Sales Manager › Leads</t>
        </is>
      </c>
      <c r="D104" s="8" t="n">
        <v>1</v>
      </c>
      <c r="E104" s="8" t="n">
        <v>1</v>
      </c>
      <c r="F104" s="8" t="n">
        <v>1</v>
      </c>
      <c r="G104" s="8" t="inlineStr"/>
      <c r="H104" s="8" t="n">
        <v>1</v>
      </c>
      <c r="I104" s="8" t="n">
        <v>0</v>
      </c>
      <c r="J104" s="8" t="inlineStr">
        <is>
          <t>captured</t>
        </is>
      </c>
      <c r="K104" s="8" t="inlineStr">
        <is>
          <t>Captured date present</t>
        </is>
      </c>
      <c r="L104" s="8" t="n">
        <v>0</v>
      </c>
      <c r="M104" s="8" t="n">
        <v>0</v>
      </c>
      <c r="N104" s="15" t="inlineStr">
        <is>
          <t>Pass</t>
        </is>
      </c>
      <c r="O104" s="8" t="inlineStr"/>
    </row>
    <row r="105">
      <c r="A105" s="8" t="n">
        <v>104</v>
      </c>
      <c r="B105" s="8" t="inlineStr">
        <is>
          <t>Source &amp; Channel (Project)</t>
        </is>
      </c>
      <c r="C105" s="8" t="inlineStr">
        <is>
          <t>Performance by Project › Palm Exotjca Limited › Leads</t>
        </is>
      </c>
      <c r="D105" s="8" t="n">
        <v>555</v>
      </c>
      <c r="E105" s="8" t="n">
        <v>555</v>
      </c>
      <c r="F105" s="8" t="n">
        <v>500</v>
      </c>
      <c r="G105" s="8" t="inlineStr">
        <is>
          <t>Yes</t>
        </is>
      </c>
      <c r="H105" s="8" t="n">
        <v>555</v>
      </c>
      <c r="I105" s="8" t="n">
        <v>0</v>
      </c>
      <c r="J105" s="8" t="inlineStr">
        <is>
          <t>captured</t>
        </is>
      </c>
      <c r="K105" s="8" t="inlineStr">
        <is>
          <t>Captured date present</t>
        </is>
      </c>
      <c r="L105" s="8" t="n">
        <v>0</v>
      </c>
      <c r="M105" s="8" t="n">
        <v>0</v>
      </c>
      <c r="N105" s="15" t="inlineStr">
        <is>
          <t>Pass</t>
        </is>
      </c>
      <c r="O105" s="8" t="inlineStr"/>
    </row>
    <row r="106">
      <c r="A106" s="8" t="n">
        <v>105</v>
      </c>
      <c r="B106" s="8" t="inlineStr">
        <is>
          <t>Source &amp; Channel (Project)</t>
        </is>
      </c>
      <c r="C106" s="8" t="inlineStr">
        <is>
          <t>Performance by Project › Unspecified › Leads</t>
        </is>
      </c>
      <c r="D106" s="8" t="n">
        <v>49</v>
      </c>
      <c r="E106" s="8" t="n">
        <v>49</v>
      </c>
      <c r="F106" s="8" t="n">
        <v>49</v>
      </c>
      <c r="G106" s="8" t="inlineStr"/>
      <c r="H106" s="8" t="n">
        <v>49</v>
      </c>
      <c r="I106" s="8" t="n">
        <v>0</v>
      </c>
      <c r="J106" s="8" t="inlineStr">
        <is>
          <t>captured</t>
        </is>
      </c>
      <c r="K106" s="8" t="inlineStr">
        <is>
          <t>Captured date present</t>
        </is>
      </c>
      <c r="L106" s="8" t="n">
        <v>0</v>
      </c>
      <c r="M106" s="8" t="n">
        <v>0</v>
      </c>
      <c r="N106" s="15" t="inlineStr">
        <is>
          <t>Pass</t>
        </is>
      </c>
      <c r="O106" s="8" t="inlineStr"/>
    </row>
    <row r="107">
      <c r="A107" s="8" t="n">
        <v>106</v>
      </c>
      <c r="B107" s="8" t="inlineStr">
        <is>
          <t>Source &amp; Channel (Project)</t>
        </is>
      </c>
      <c r="C107" s="8" t="inlineStr">
        <is>
          <t>Performance by Project › **&amp;**&amp;*&amp;** › Leads</t>
        </is>
      </c>
      <c r="D107" s="8" t="n">
        <v>1</v>
      </c>
      <c r="E107" s="8" t="n">
        <v>1</v>
      </c>
      <c r="F107" s="8" t="n">
        <v>1</v>
      </c>
      <c r="G107" s="8" t="inlineStr"/>
      <c r="H107" s="8" t="n">
        <v>1</v>
      </c>
      <c r="I107" s="8" t="n">
        <v>0</v>
      </c>
      <c r="J107" s="8" t="inlineStr">
        <is>
          <t>captured</t>
        </is>
      </c>
      <c r="K107" s="8" t="inlineStr">
        <is>
          <t>Captured date present</t>
        </is>
      </c>
      <c r="L107" s="8" t="n">
        <v>0</v>
      </c>
      <c r="M107" s="8" t="n">
        <v>0</v>
      </c>
      <c r="N107" s="15" t="inlineStr">
        <is>
          <t>Pass</t>
        </is>
      </c>
      <c r="O107" s="8" t="inlineStr"/>
    </row>
    <row r="108">
      <c r="A108" s="8" t="n">
        <v>107</v>
      </c>
      <c r="B108" s="8" t="inlineStr">
        <is>
          <t>Source &amp; Channel (Project)</t>
        </is>
      </c>
      <c r="C108" s="8" t="inlineStr">
        <is>
          <t>Performance by Project › PES-EXOT › Leads</t>
        </is>
      </c>
      <c r="D108" s="8" t="n">
        <v>1</v>
      </c>
      <c r="E108" s="8" t="n">
        <v>1</v>
      </c>
      <c r="F108" s="8" t="n">
        <v>1</v>
      </c>
      <c r="G108" s="8" t="inlineStr"/>
      <c r="H108" s="8" t="n">
        <v>1</v>
      </c>
      <c r="I108" s="8" t="n">
        <v>0</v>
      </c>
      <c r="J108" s="8" t="inlineStr">
        <is>
          <t>captured</t>
        </is>
      </c>
      <c r="K108" s="8" t="inlineStr">
        <is>
          <t>Captured date present</t>
        </is>
      </c>
      <c r="L108" s="8" t="n">
        <v>0</v>
      </c>
      <c r="M108" s="8" t="n">
        <v>0</v>
      </c>
      <c r="N108" s="15" t="inlineStr">
        <is>
          <t>Pass</t>
        </is>
      </c>
      <c r="O108" s="8" t="inlineStr"/>
    </row>
    <row r="109">
      <c r="A109" s="8" t="n">
        <v>108</v>
      </c>
      <c r="B109" s="8" t="inlineStr">
        <is>
          <t>Source &amp; Channel (Project)</t>
        </is>
      </c>
      <c r="C109" s="8" t="inlineStr">
        <is>
          <t>Performance by Project › PET › Leads</t>
        </is>
      </c>
      <c r="D109" s="8" t="n">
        <v>1</v>
      </c>
      <c r="E109" s="8" t="n">
        <v>1</v>
      </c>
      <c r="F109" s="8" t="n">
        <v>1</v>
      </c>
      <c r="G109" s="8" t="inlineStr"/>
      <c r="H109" s="8" t="n">
        <v>1</v>
      </c>
      <c r="I109" s="8" t="n">
        <v>0</v>
      </c>
      <c r="J109" s="8" t="inlineStr">
        <is>
          <t>captured</t>
        </is>
      </c>
      <c r="K109" s="8" t="inlineStr">
        <is>
          <t>Captured date present</t>
        </is>
      </c>
      <c r="L109" s="8" t="n">
        <v>0</v>
      </c>
      <c r="M109" s="8" t="n">
        <v>0</v>
      </c>
      <c r="N109" s="15" t="inlineStr">
        <is>
          <t>Pass</t>
        </is>
      </c>
      <c r="O109" s="8" t="inlineStr"/>
    </row>
    <row r="110">
      <c r="A110" s="8" t="n">
        <v>109</v>
      </c>
      <c r="B110" s="8" t="inlineStr">
        <is>
          <t>Source &amp; Channel (Project)</t>
        </is>
      </c>
      <c r="C110" s="8" t="inlineStr">
        <is>
          <t>Performance by Project › PET-AEX-001 › Leads</t>
        </is>
      </c>
      <c r="D110" s="8" t="n">
        <v>1</v>
      </c>
      <c r="E110" s="8" t="n">
        <v>1</v>
      </c>
      <c r="F110" s="8" t="n">
        <v>1</v>
      </c>
      <c r="G110" s="8" t="inlineStr"/>
      <c r="H110" s="8" t="n">
        <v>1</v>
      </c>
      <c r="I110" s="8" t="n">
        <v>0</v>
      </c>
      <c r="J110" s="8" t="inlineStr">
        <is>
          <t>captured</t>
        </is>
      </c>
      <c r="K110" s="8" t="inlineStr">
        <is>
          <t>Captured date present</t>
        </is>
      </c>
      <c r="L110" s="8" t="n">
        <v>0</v>
      </c>
      <c r="M110" s="8" t="n">
        <v>0</v>
      </c>
      <c r="N110" s="15" t="inlineStr">
        <is>
          <t>Pass</t>
        </is>
      </c>
      <c r="O110" s="8" t="inlineStr"/>
    </row>
    <row r="111">
      <c r="A111" s="8" t="n">
        <v>110</v>
      </c>
      <c r="B111" s="8" t="inlineStr">
        <is>
          <t>Source &amp; Channel (Project)</t>
        </is>
      </c>
      <c r="C111" s="8" t="inlineStr">
        <is>
          <t>Performance by Project › PEX › Leads</t>
        </is>
      </c>
      <c r="D111" s="8" t="n">
        <v>1</v>
      </c>
      <c r="E111" s="8" t="n">
        <v>1</v>
      </c>
      <c r="F111" s="8" t="n">
        <v>1</v>
      </c>
      <c r="G111" s="8" t="inlineStr"/>
      <c r="H111" s="8" t="n">
        <v>1</v>
      </c>
      <c r="I111" s="8" t="n">
        <v>0</v>
      </c>
      <c r="J111" s="8" t="inlineStr">
        <is>
          <t>captured</t>
        </is>
      </c>
      <c r="K111" s="8" t="inlineStr">
        <is>
          <t>Captured date present</t>
        </is>
      </c>
      <c r="L111" s="8" t="n">
        <v>0</v>
      </c>
      <c r="M111" s="8" t="n">
        <v>0</v>
      </c>
      <c r="N111" s="15" t="inlineStr">
        <is>
          <t>Pass</t>
        </is>
      </c>
      <c r="O111" s="8" t="inlineStr"/>
    </row>
    <row r="112">
      <c r="A112" s="8" t="n">
        <v>111</v>
      </c>
      <c r="B112" s="8" t="inlineStr">
        <is>
          <t>Source &amp; Channel (Project)</t>
        </is>
      </c>
      <c r="C112" s="8" t="inlineStr">
        <is>
          <t>Performance by Project › PEX_EXOT › Leads</t>
        </is>
      </c>
      <c r="D112" s="8" t="n">
        <v>1</v>
      </c>
      <c r="E112" s="8" t="n">
        <v>1</v>
      </c>
      <c r="F112" s="8" t="n">
        <v>1</v>
      </c>
      <c r="G112" s="8" t="inlineStr"/>
      <c r="H112" s="8" t="n">
        <v>1</v>
      </c>
      <c r="I112" s="8" t="n">
        <v>0</v>
      </c>
      <c r="J112" s="8" t="inlineStr">
        <is>
          <t>captured</t>
        </is>
      </c>
      <c r="K112" s="8" t="inlineStr">
        <is>
          <t>Captured date present</t>
        </is>
      </c>
      <c r="L112" s="8" t="n">
        <v>0</v>
      </c>
      <c r="M112" s="8" t="n">
        <v>0</v>
      </c>
      <c r="N112" s="15" t="inlineStr">
        <is>
          <t>Pass</t>
        </is>
      </c>
      <c r="O112" s="8" t="inlineStr"/>
    </row>
    <row r="113">
      <c r="A113" s="8" t="n">
        <v>112</v>
      </c>
      <c r="B113" s="8" t="inlineStr">
        <is>
          <t>Source &amp; Channel (Project)</t>
        </is>
      </c>
      <c r="C113" s="8" t="inlineStr">
        <is>
          <t>Performance by Project › PRJ › Leads</t>
        </is>
      </c>
      <c r="D113" s="8" t="n">
        <v>1</v>
      </c>
      <c r="E113" s="8" t="n">
        <v>1</v>
      </c>
      <c r="F113" s="8" t="n">
        <v>1</v>
      </c>
      <c r="G113" s="8" t="inlineStr"/>
      <c r="H113" s="8" t="n">
        <v>1</v>
      </c>
      <c r="I113" s="8" t="n">
        <v>0</v>
      </c>
      <c r="J113" s="8" t="inlineStr">
        <is>
          <t>captured</t>
        </is>
      </c>
      <c r="K113" s="8" t="inlineStr">
        <is>
          <t>Captured date present</t>
        </is>
      </c>
      <c r="L113" s="8" t="n">
        <v>0</v>
      </c>
      <c r="M113" s="8" t="n">
        <v>0</v>
      </c>
      <c r="N113" s="15" t="inlineStr">
        <is>
          <t>Pass</t>
        </is>
      </c>
      <c r="O113" s="8" t="inlineStr"/>
    </row>
    <row r="114">
      <c r="A114" s="8" t="n">
        <v>113</v>
      </c>
      <c r="B114" s="8" t="inlineStr">
        <is>
          <t>Source &amp; Channel (Project)</t>
        </is>
      </c>
      <c r="C114" s="8" t="inlineStr">
        <is>
          <t>Performance by Project › PRJE › Leads</t>
        </is>
      </c>
      <c r="D114" s="8" t="n">
        <v>1</v>
      </c>
      <c r="E114" s="8" t="n">
        <v>1</v>
      </c>
      <c r="F114" s="8" t="n">
        <v>1</v>
      </c>
      <c r="G114" s="8" t="inlineStr"/>
      <c r="H114" s="8" t="n">
        <v>1</v>
      </c>
      <c r="I114" s="8" t="n">
        <v>0</v>
      </c>
      <c r="J114" s="8" t="inlineStr">
        <is>
          <t>captured</t>
        </is>
      </c>
      <c r="K114" s="8" t="inlineStr">
        <is>
          <t>Captured date present</t>
        </is>
      </c>
      <c r="L114" s="8" t="n">
        <v>0</v>
      </c>
      <c r="M114" s="8" t="n">
        <v>0</v>
      </c>
      <c r="N114" s="15" t="inlineStr">
        <is>
          <t>Pass</t>
        </is>
      </c>
      <c r="O114" s="8" t="inlineStr"/>
    </row>
    <row r="115">
      <c r="A115" s="8" t="n">
        <v>114</v>
      </c>
      <c r="B115" s="8" t="inlineStr">
        <is>
          <t>Source &amp; Channel (Project)</t>
        </is>
      </c>
      <c r="C115" s="8" t="inlineStr">
        <is>
          <t>Performance by Project › PROJ › Leads</t>
        </is>
      </c>
      <c r="D115" s="8" t="n">
        <v>1</v>
      </c>
      <c r="E115" s="8" t="n">
        <v>1</v>
      </c>
      <c r="F115" s="8" t="n">
        <v>1</v>
      </c>
      <c r="G115" s="8" t="inlineStr"/>
      <c r="H115" s="8" t="n">
        <v>1</v>
      </c>
      <c r="I115" s="8" t="n">
        <v>0</v>
      </c>
      <c r="J115" s="8" t="inlineStr">
        <is>
          <t>captured</t>
        </is>
      </c>
      <c r="K115" s="8" t="inlineStr">
        <is>
          <t>Captured date present</t>
        </is>
      </c>
      <c r="L115" s="8" t="n">
        <v>0</v>
      </c>
      <c r="M115" s="8" t="n">
        <v>0</v>
      </c>
      <c r="N115" s="15" t="inlineStr">
        <is>
          <t>Pass</t>
        </is>
      </c>
      <c r="O115" s="8" t="inlineStr"/>
    </row>
    <row r="116">
      <c r="A116" s="8" t="n">
        <v>115</v>
      </c>
      <c r="B116" s="8" t="inlineStr">
        <is>
          <t>Source &amp; Channel (Nationality)</t>
        </is>
      </c>
      <c r="C116" s="8" t="inlineStr">
        <is>
          <t>Performance by Nationality › Unspecified › Leads</t>
        </is>
      </c>
      <c r="D116" s="8" t="n">
        <v>581</v>
      </c>
      <c r="E116" s="8" t="n">
        <v>581</v>
      </c>
      <c r="F116" s="8" t="n">
        <v>500</v>
      </c>
      <c r="G116" s="8" t="inlineStr">
        <is>
          <t>Yes</t>
        </is>
      </c>
      <c r="H116" s="8" t="n">
        <v>581</v>
      </c>
      <c r="I116" s="8" t="n">
        <v>0</v>
      </c>
      <c r="J116" s="8" t="inlineStr">
        <is>
          <t>captured</t>
        </is>
      </c>
      <c r="K116" s="8" t="inlineStr">
        <is>
          <t>Captured date present</t>
        </is>
      </c>
      <c r="L116" s="8" t="n">
        <v>0</v>
      </c>
      <c r="M116" s="8" t="n">
        <v>0</v>
      </c>
      <c r="N116" s="15" t="inlineStr">
        <is>
          <t>Pass</t>
        </is>
      </c>
      <c r="O116" s="8" t="inlineStr"/>
    </row>
    <row r="117">
      <c r="A117" s="8" t="n">
        <v>116</v>
      </c>
      <c r="B117" s="8" t="inlineStr">
        <is>
          <t>Source &amp; Channel (Nationality)</t>
        </is>
      </c>
      <c r="C117" s="8" t="inlineStr">
        <is>
          <t>Performance by Nationality › India › Leads</t>
        </is>
      </c>
      <c r="D117" s="8" t="n">
        <v>8</v>
      </c>
      <c r="E117" s="8" t="n">
        <v>8</v>
      </c>
      <c r="F117" s="8" t="n">
        <v>8</v>
      </c>
      <c r="G117" s="8" t="inlineStr"/>
      <c r="H117" s="8" t="n">
        <v>8</v>
      </c>
      <c r="I117" s="8" t="n">
        <v>0</v>
      </c>
      <c r="J117" s="8" t="inlineStr">
        <is>
          <t>captured</t>
        </is>
      </c>
      <c r="K117" s="8" t="inlineStr">
        <is>
          <t>Captured date present</t>
        </is>
      </c>
      <c r="L117" s="8" t="n">
        <v>0</v>
      </c>
      <c r="M117" s="8" t="n">
        <v>0</v>
      </c>
      <c r="N117" s="15" t="inlineStr">
        <is>
          <t>Pass</t>
        </is>
      </c>
      <c r="O117" s="8" t="inlineStr"/>
    </row>
    <row r="118">
      <c r="A118" s="8" t="n">
        <v>117</v>
      </c>
      <c r="B118" s="8" t="inlineStr">
        <is>
          <t>Source &amp; Channel (Nationality)</t>
        </is>
      </c>
      <c r="C118" s="8" t="inlineStr">
        <is>
          <t>Performance by Nationality › United Kingdom › Leads</t>
        </is>
      </c>
      <c r="D118" s="8" t="n">
        <v>7</v>
      </c>
      <c r="E118" s="8" t="n">
        <v>7</v>
      </c>
      <c r="F118" s="8" t="n">
        <v>7</v>
      </c>
      <c r="G118" s="8" t="inlineStr"/>
      <c r="H118" s="8" t="n">
        <v>7</v>
      </c>
      <c r="I118" s="8" t="n">
        <v>0</v>
      </c>
      <c r="J118" s="8" t="inlineStr">
        <is>
          <t>captured</t>
        </is>
      </c>
      <c r="K118" s="8" t="inlineStr">
        <is>
          <t>Captured date present</t>
        </is>
      </c>
      <c r="L118" s="8" t="n">
        <v>0</v>
      </c>
      <c r="M118" s="8" t="n">
        <v>0</v>
      </c>
      <c r="N118" s="15" t="inlineStr">
        <is>
          <t>Pass</t>
        </is>
      </c>
      <c r="O118" s="8" t="inlineStr"/>
    </row>
    <row r="119">
      <c r="A119" s="8" t="n">
        <v>118</v>
      </c>
      <c r="B119" s="8" t="inlineStr">
        <is>
          <t>Source &amp; Channel (Nationality)</t>
        </is>
      </c>
      <c r="C119" s="8" t="inlineStr">
        <is>
          <t>Performance by Nationality › Australia › Leads</t>
        </is>
      </c>
      <c r="D119" s="8" t="n">
        <v>5</v>
      </c>
      <c r="E119" s="8" t="n">
        <v>5</v>
      </c>
      <c r="F119" s="8" t="n">
        <v>5</v>
      </c>
      <c r="G119" s="8" t="inlineStr"/>
      <c r="H119" s="8" t="n">
        <v>5</v>
      </c>
      <c r="I119" s="8" t="n">
        <v>0</v>
      </c>
      <c r="J119" s="8" t="inlineStr">
        <is>
          <t>captured</t>
        </is>
      </c>
      <c r="K119" s="8" t="inlineStr">
        <is>
          <t>Captured date present</t>
        </is>
      </c>
      <c r="L119" s="8" t="n">
        <v>0</v>
      </c>
      <c r="M119" s="8" t="n">
        <v>0</v>
      </c>
      <c r="N119" s="15" t="inlineStr">
        <is>
          <t>Pass</t>
        </is>
      </c>
      <c r="O119" s="8" t="inlineStr"/>
    </row>
    <row r="120">
      <c r="A120" s="8" t="n">
        <v>119</v>
      </c>
      <c r="B120" s="8" t="inlineStr">
        <is>
          <t>Source &amp; Channel (Nationality)</t>
        </is>
      </c>
      <c r="C120" s="8" t="inlineStr">
        <is>
          <t>Performance by Nationality › United Arab Emirates › Leads</t>
        </is>
      </c>
      <c r="D120" s="8" t="n">
        <v>2</v>
      </c>
      <c r="E120" s="8" t="n">
        <v>2</v>
      </c>
      <c r="F120" s="8" t="n">
        <v>2</v>
      </c>
      <c r="G120" s="8" t="inlineStr"/>
      <c r="H120" s="8" t="n">
        <v>2</v>
      </c>
      <c r="I120" s="8" t="n">
        <v>0</v>
      </c>
      <c r="J120" s="8" t="inlineStr">
        <is>
          <t>captured</t>
        </is>
      </c>
      <c r="K120" s="8" t="inlineStr">
        <is>
          <t>Captured date present</t>
        </is>
      </c>
      <c r="L120" s="8" t="n">
        <v>0</v>
      </c>
      <c r="M120" s="8" t="n">
        <v>0</v>
      </c>
      <c r="N120" s="15" t="inlineStr">
        <is>
          <t>Pass</t>
        </is>
      </c>
      <c r="O120" s="8" t="inlineStr"/>
    </row>
    <row r="121">
      <c r="A121" s="8" t="n">
        <v>120</v>
      </c>
      <c r="B121" s="8" t="inlineStr">
        <is>
          <t>Source &amp; Channel (Nationality)</t>
        </is>
      </c>
      <c r="C121" s="8" t="inlineStr">
        <is>
          <t>Performance by Nationality › Canada › Leads</t>
        </is>
      </c>
      <c r="D121" s="8" t="n">
        <v>2</v>
      </c>
      <c r="E121" s="8" t="n">
        <v>2</v>
      </c>
      <c r="F121" s="8" t="n">
        <v>2</v>
      </c>
      <c r="G121" s="8" t="inlineStr"/>
      <c r="H121" s="8" t="n">
        <v>2</v>
      </c>
      <c r="I121" s="8" t="n">
        <v>0</v>
      </c>
      <c r="J121" s="8" t="inlineStr">
        <is>
          <t>captured</t>
        </is>
      </c>
      <c r="K121" s="8" t="inlineStr">
        <is>
          <t>Captured date present</t>
        </is>
      </c>
      <c r="L121" s="8" t="n">
        <v>0</v>
      </c>
      <c r="M121" s="8" t="n">
        <v>0</v>
      </c>
      <c r="N121" s="15" t="inlineStr">
        <is>
          <t>Pass</t>
        </is>
      </c>
      <c r="O121" s="8" t="inlineStr"/>
    </row>
    <row r="122">
      <c r="A122" s="8" t="n">
        <v>121</v>
      </c>
      <c r="B122" s="8" t="inlineStr">
        <is>
          <t>Source &amp; Channel (Nationality)</t>
        </is>
      </c>
      <c r="C122" s="8" t="inlineStr">
        <is>
          <t>Performance by Nationality › Ascension Island › Leads</t>
        </is>
      </c>
      <c r="D122" s="8" t="n">
        <v>1</v>
      </c>
      <c r="E122" s="8" t="n">
        <v>1</v>
      </c>
      <c r="F122" s="8" t="n">
        <v>1</v>
      </c>
      <c r="G122" s="8" t="inlineStr"/>
      <c r="H122" s="8" t="n">
        <v>1</v>
      </c>
      <c r="I122" s="8" t="n">
        <v>0</v>
      </c>
      <c r="J122" s="8" t="inlineStr">
        <is>
          <t>captured</t>
        </is>
      </c>
      <c r="K122" s="8" t="inlineStr">
        <is>
          <t>Captured date present</t>
        </is>
      </c>
      <c r="L122" s="8" t="n">
        <v>0</v>
      </c>
      <c r="M122" s="8" t="n">
        <v>0</v>
      </c>
      <c r="N122" s="15" t="inlineStr">
        <is>
          <t>Pass</t>
        </is>
      </c>
      <c r="O122" s="8" t="inlineStr"/>
    </row>
    <row r="123">
      <c r="A123" s="8" t="n">
        <v>122</v>
      </c>
      <c r="B123" s="8" t="inlineStr">
        <is>
          <t>Source &amp; Channel (Nationality)</t>
        </is>
      </c>
      <c r="C123" s="8" t="inlineStr">
        <is>
          <t>Performance by Nationality › Angola › Leads</t>
        </is>
      </c>
      <c r="D123" s="8" t="n">
        <v>1</v>
      </c>
      <c r="E123" s="8" t="n">
        <v>1</v>
      </c>
      <c r="F123" s="8" t="n">
        <v>1</v>
      </c>
      <c r="G123" s="8" t="inlineStr"/>
      <c r="H123" s="8" t="n">
        <v>1</v>
      </c>
      <c r="I123" s="8" t="n">
        <v>0</v>
      </c>
      <c r="J123" s="8" t="inlineStr">
        <is>
          <t>captured</t>
        </is>
      </c>
      <c r="K123" s="8" t="inlineStr">
        <is>
          <t>Captured date present</t>
        </is>
      </c>
      <c r="L123" s="8" t="n">
        <v>0</v>
      </c>
      <c r="M123" s="8" t="n">
        <v>0</v>
      </c>
      <c r="N123" s="15" t="inlineStr">
        <is>
          <t>Pass</t>
        </is>
      </c>
      <c r="O123" s="8" t="inlineStr"/>
    </row>
    <row r="124">
      <c r="A124" s="8" t="n">
        <v>123</v>
      </c>
      <c r="B124" s="8" t="inlineStr">
        <is>
          <t>Source &amp; Channel (Nationality)</t>
        </is>
      </c>
      <c r="C124" s="8" t="inlineStr">
        <is>
          <t>Performance by Nationality › Argentina › Leads</t>
        </is>
      </c>
      <c r="D124" s="8" t="n">
        <v>1</v>
      </c>
      <c r="E124" s="8" t="n">
        <v>1</v>
      </c>
      <c r="F124" s="8" t="n">
        <v>1</v>
      </c>
      <c r="G124" s="8" t="inlineStr"/>
      <c r="H124" s="8" t="n">
        <v>1</v>
      </c>
      <c r="I124" s="8" t="n">
        <v>0</v>
      </c>
      <c r="J124" s="8" t="inlineStr">
        <is>
          <t>captured</t>
        </is>
      </c>
      <c r="K124" s="8" t="inlineStr">
        <is>
          <t>Captured date present</t>
        </is>
      </c>
      <c r="L124" s="8" t="n">
        <v>0</v>
      </c>
      <c r="M124" s="8" t="n">
        <v>0</v>
      </c>
      <c r="N124" s="15" t="inlineStr">
        <is>
          <t>Pass</t>
        </is>
      </c>
      <c r="O124" s="8" t="inlineStr"/>
    </row>
    <row r="125">
      <c r="A125" s="8" t="n">
        <v>124</v>
      </c>
      <c r="B125" s="8" t="inlineStr">
        <is>
          <t>Source &amp; Channel (Nationality)</t>
        </is>
      </c>
      <c r="C125" s="8" t="inlineStr">
        <is>
          <t>Performance by Nationality › Austria › Leads</t>
        </is>
      </c>
      <c r="D125" s="8" t="n">
        <v>1</v>
      </c>
      <c r="E125" s="8" t="n">
        <v>1</v>
      </c>
      <c r="F125" s="8" t="n">
        <v>1</v>
      </c>
      <c r="G125" s="8" t="inlineStr"/>
      <c r="H125" s="8" t="n">
        <v>1</v>
      </c>
      <c r="I125" s="8" t="n">
        <v>0</v>
      </c>
      <c r="J125" s="8" t="inlineStr">
        <is>
          <t>captured</t>
        </is>
      </c>
      <c r="K125" s="8" t="inlineStr">
        <is>
          <t>Captured date present</t>
        </is>
      </c>
      <c r="L125" s="8" t="n">
        <v>0</v>
      </c>
      <c r="M125" s="8" t="n">
        <v>0</v>
      </c>
      <c r="N125" s="15" t="inlineStr">
        <is>
          <t>Pass</t>
        </is>
      </c>
      <c r="O125" s="8" t="inlineStr"/>
    </row>
    <row r="126">
      <c r="A126" s="8" t="n">
        <v>125</v>
      </c>
      <c r="B126" s="8" t="inlineStr">
        <is>
          <t>Source &amp; Channel (Nationality)</t>
        </is>
      </c>
      <c r="C126" s="8" t="inlineStr">
        <is>
          <t>Performance by Nationality › Aland › Leads</t>
        </is>
      </c>
      <c r="D126" s="8" t="n">
        <v>1</v>
      </c>
      <c r="E126" s="8" t="n">
        <v>1</v>
      </c>
      <c r="F126" s="8" t="n">
        <v>1</v>
      </c>
      <c r="G126" s="8" t="inlineStr"/>
      <c r="H126" s="8" t="n">
        <v>1</v>
      </c>
      <c r="I126" s="8" t="n">
        <v>0</v>
      </c>
      <c r="J126" s="8" t="inlineStr">
        <is>
          <t>captured</t>
        </is>
      </c>
      <c r="K126" s="8" t="inlineStr">
        <is>
          <t>Captured date present</t>
        </is>
      </c>
      <c r="L126" s="8" t="n">
        <v>0</v>
      </c>
      <c r="M126" s="8" t="n">
        <v>0</v>
      </c>
      <c r="N126" s="15" t="inlineStr">
        <is>
          <t>Pass</t>
        </is>
      </c>
      <c r="O126" s="8" t="inlineStr"/>
    </row>
    <row r="127">
      <c r="A127" s="8" t="n">
        <v>126</v>
      </c>
      <c r="B127" s="8" t="inlineStr">
        <is>
          <t>Source &amp; Channel (Nationality)</t>
        </is>
      </c>
      <c r="C127" s="8" t="inlineStr">
        <is>
          <t>Performance by Nationality › Azerbaijan › Leads</t>
        </is>
      </c>
      <c r="D127" s="8" t="n">
        <v>1</v>
      </c>
      <c r="E127" s="8" t="n">
        <v>1</v>
      </c>
      <c r="F127" s="8" t="n">
        <v>1</v>
      </c>
      <c r="G127" s="8" t="inlineStr"/>
      <c r="H127" s="8" t="n">
        <v>1</v>
      </c>
      <c r="I127" s="8" t="n">
        <v>0</v>
      </c>
      <c r="J127" s="8" t="inlineStr">
        <is>
          <t>captured</t>
        </is>
      </c>
      <c r="K127" s="8" t="inlineStr">
        <is>
          <t>Captured date present</t>
        </is>
      </c>
      <c r="L127" s="8" t="n">
        <v>0</v>
      </c>
      <c r="M127" s="8" t="n">
        <v>0</v>
      </c>
      <c r="N127" s="15" t="inlineStr">
        <is>
          <t>Pass</t>
        </is>
      </c>
      <c r="O127" s="8" t="inlineStr"/>
    </row>
    <row r="128">
      <c r="A128" s="8" t="n">
        <v>127</v>
      </c>
      <c r="B128" s="8" t="inlineStr">
        <is>
          <t>Source &amp; Channel (Nationality)</t>
        </is>
      </c>
      <c r="C128" s="8" t="inlineStr">
        <is>
          <t>Performance by Nationality › Kenya › Leads</t>
        </is>
      </c>
      <c r="D128" s="8" t="n">
        <v>1</v>
      </c>
      <c r="E128" s="8" t="n">
        <v>1</v>
      </c>
      <c r="F128" s="8" t="n">
        <v>1</v>
      </c>
      <c r="G128" s="8" t="inlineStr"/>
      <c r="H128" s="8" t="n">
        <v>1</v>
      </c>
      <c r="I128" s="8" t="n">
        <v>0</v>
      </c>
      <c r="J128" s="8" t="inlineStr">
        <is>
          <t>captured</t>
        </is>
      </c>
      <c r="K128" s="8" t="inlineStr">
        <is>
          <t>Captured date present</t>
        </is>
      </c>
      <c r="L128" s="8" t="n">
        <v>0</v>
      </c>
      <c r="M128" s="8" t="n">
        <v>0</v>
      </c>
      <c r="N128" s="15" t="inlineStr">
        <is>
          <t>Pass</t>
        </is>
      </c>
      <c r="O128" s="8" t="inlineStr"/>
    </row>
    <row r="129">
      <c r="A129" s="8" t="n">
        <v>128</v>
      </c>
      <c r="B129" s="8" t="inlineStr">
        <is>
          <t>Source &amp; Channel (Nationality)</t>
        </is>
      </c>
      <c r="C129" s="8" t="inlineStr">
        <is>
          <t>Performance by Nationality › Lebanon › Leads</t>
        </is>
      </c>
      <c r="D129" s="8" t="n">
        <v>1</v>
      </c>
      <c r="E129" s="8" t="n">
        <v>1</v>
      </c>
      <c r="F129" s="8" t="n">
        <v>1</v>
      </c>
      <c r="G129" s="8" t="inlineStr"/>
      <c r="H129" s="8" t="n">
        <v>1</v>
      </c>
      <c r="I129" s="8" t="n">
        <v>0</v>
      </c>
      <c r="J129" s="8" t="inlineStr">
        <is>
          <t>captured</t>
        </is>
      </c>
      <c r="K129" s="8" t="inlineStr">
        <is>
          <t>Captured date present</t>
        </is>
      </c>
      <c r="L129" s="8" t="n">
        <v>0</v>
      </c>
      <c r="M129" s="8" t="n">
        <v>0</v>
      </c>
      <c r="N129" s="15" t="inlineStr">
        <is>
          <t>Pass</t>
        </is>
      </c>
      <c r="O129" s="8" t="inlineStr"/>
    </row>
    <row r="130">
      <c r="A130" s="8" t="n">
        <v>129</v>
      </c>
      <c r="B130" s="8" t="inlineStr">
        <is>
          <t>Source &amp; Channel (Prospect Type)</t>
        </is>
      </c>
      <c r="C130" s="8" t="inlineStr">
        <is>
          <t>Performance by Prospect Type › Unspecified › Leads</t>
        </is>
      </c>
      <c r="D130" s="8" t="n">
        <v>569</v>
      </c>
      <c r="E130" s="8" t="n">
        <v>569</v>
      </c>
      <c r="F130" s="8" t="n">
        <v>500</v>
      </c>
      <c r="G130" s="8" t="inlineStr">
        <is>
          <t>Yes</t>
        </is>
      </c>
      <c r="H130" s="8" t="n">
        <v>569</v>
      </c>
      <c r="I130" s="8" t="n">
        <v>0</v>
      </c>
      <c r="J130" s="8" t="inlineStr">
        <is>
          <t>captured</t>
        </is>
      </c>
      <c r="K130" s="8" t="inlineStr">
        <is>
          <t>Captured date present</t>
        </is>
      </c>
      <c r="L130" s="8" t="n">
        <v>0</v>
      </c>
      <c r="M130" s="8" t="n">
        <v>0</v>
      </c>
      <c r="N130" s="15" t="inlineStr">
        <is>
          <t>Pass</t>
        </is>
      </c>
      <c r="O130" s="8" t="inlineStr"/>
    </row>
    <row r="131">
      <c r="A131" s="8" t="n">
        <v>130</v>
      </c>
      <c r="B131" s="8" t="inlineStr">
        <is>
          <t>Source &amp; Channel (Prospect Type)</t>
        </is>
      </c>
      <c r="C131" s="8" t="inlineStr">
        <is>
          <t>Performance by Prospect Type › Individual (Person) › Leads</t>
        </is>
      </c>
      <c r="D131" s="8" t="n">
        <v>41</v>
      </c>
      <c r="E131" s="8" t="n">
        <v>41</v>
      </c>
      <c r="F131" s="8" t="n">
        <v>41</v>
      </c>
      <c r="G131" s="8" t="inlineStr"/>
      <c r="H131" s="8" t="n">
        <v>41</v>
      </c>
      <c r="I131" s="8" t="n">
        <v>0</v>
      </c>
      <c r="J131" s="8" t="inlineStr">
        <is>
          <t>captured</t>
        </is>
      </c>
      <c r="K131" s="8" t="inlineStr">
        <is>
          <t>Captured date present</t>
        </is>
      </c>
      <c r="L131" s="8" t="n">
        <v>0</v>
      </c>
      <c r="M131" s="8" t="n">
        <v>0</v>
      </c>
      <c r="N131" s="15" t="inlineStr">
        <is>
          <t>Pass</t>
        </is>
      </c>
      <c r="O131" s="8" t="inlineStr"/>
    </row>
    <row r="132">
      <c r="A132" s="8" t="n">
        <v>131</v>
      </c>
      <c r="B132" s="8" t="inlineStr">
        <is>
          <t>Source &amp; Channel (Prospect Type)</t>
        </is>
      </c>
      <c r="C132" s="8" t="inlineStr">
        <is>
          <t>Performance by Prospect Type › Corporate / Institutional › Leads</t>
        </is>
      </c>
      <c r="D132" s="8" t="n">
        <v>3</v>
      </c>
      <c r="E132" s="8" t="n">
        <v>3</v>
      </c>
      <c r="F132" s="8" t="n">
        <v>3</v>
      </c>
      <c r="G132" s="8" t="inlineStr"/>
      <c r="H132" s="8" t="n">
        <v>3</v>
      </c>
      <c r="I132" s="8" t="n">
        <v>0</v>
      </c>
      <c r="J132" s="8" t="inlineStr">
        <is>
          <t>captured</t>
        </is>
      </c>
      <c r="K132" s="8" t="inlineStr">
        <is>
          <t>Captured date present</t>
        </is>
      </c>
      <c r="L132" s="8" t="n">
        <v>0</v>
      </c>
      <c r="M132" s="8" t="n">
        <v>0</v>
      </c>
      <c r="N132" s="15" t="inlineStr">
        <is>
          <t>Pass</t>
        </is>
      </c>
      <c r="O132" s="8" t="inlineStr"/>
    </row>
    <row r="133">
      <c r="A133" s="8" t="n">
        <v>132</v>
      </c>
      <c r="B133" s="8" t="inlineStr">
        <is>
          <t>Aging &amp; Follow-up</t>
        </is>
      </c>
      <c r="C133" s="8" t="inlineStr">
        <is>
          <t>KPI "Open Leads"</t>
        </is>
      </c>
      <c r="D133" s="8" t="n">
        <v>364</v>
      </c>
      <c r="E133" s="8" t="n">
        <v>364</v>
      </c>
      <c r="F133" s="8" t="n">
        <v>364</v>
      </c>
      <c r="G133" s="8" t="inlineStr"/>
      <c r="H133" s="8" t="n">
        <v>364</v>
      </c>
      <c r="I133" s="8" t="n">
        <v>0</v>
      </c>
      <c r="J133" s="8" t="inlineStr">
        <is>
          <t>openNow</t>
        </is>
      </c>
      <c r="K133" s="8" t="inlineStr">
        <is>
          <t>Open status (not Converted/Lost/Disqualified/Duplicate)</t>
        </is>
      </c>
      <c r="L133" s="8" t="n">
        <v>0</v>
      </c>
      <c r="M133" s="8" t="inlineStr">
        <is>
          <t>n/a</t>
        </is>
      </c>
      <c r="N133" s="15" t="inlineStr">
        <is>
          <t>Pass</t>
        </is>
      </c>
      <c r="O133" s="8" t="inlineStr"/>
    </row>
    <row r="134">
      <c r="A134" s="8" t="n">
        <v>133</v>
      </c>
      <c r="B134" s="8" t="inlineStr">
        <is>
          <t>Aging &amp; Follow-up</t>
        </is>
      </c>
      <c r="C134" s="8" t="inlineStr">
        <is>
          <t>KPI "Idle Over 30 Days"</t>
        </is>
      </c>
      <c r="D134" s="8" t="n">
        <v>342</v>
      </c>
      <c r="E134" s="8" t="n">
        <v>342</v>
      </c>
      <c r="F134" s="8" t="n">
        <v>342</v>
      </c>
      <c r="G134" s="8" t="inlineStr"/>
      <c r="H134" s="8" t="n">
        <v>342</v>
      </c>
      <c r="I134" s="8" t="n">
        <v>0</v>
      </c>
      <c r="J134" s="8" t="inlineStr">
        <is>
          <t>idleNow</t>
        </is>
      </c>
      <c r="K134" s="8" t="inlineStr">
        <is>
          <t>Open status and Idle &gt; 30 d</t>
        </is>
      </c>
      <c r="L134" s="8" t="n">
        <v>0</v>
      </c>
      <c r="M134" s="8" t="inlineStr">
        <is>
          <t>n/a</t>
        </is>
      </c>
      <c r="N134" s="15" t="inlineStr">
        <is>
          <t>Pass</t>
        </is>
      </c>
      <c r="O134" s="8" t="inlineStr"/>
    </row>
    <row r="135">
      <c r="A135" s="8" t="n">
        <v>134</v>
      </c>
      <c r="B135" s="8" t="inlineStr">
        <is>
          <t>Aging &amp; Follow-up</t>
        </is>
      </c>
      <c r="C135" s="8" t="inlineStr">
        <is>
          <t>KPI "Never Contacted"</t>
        </is>
      </c>
      <c r="D135" s="8" t="n">
        <v>163</v>
      </c>
      <c r="E135" s="8" t="n">
        <v>163</v>
      </c>
      <c r="F135" s="8" t="n">
        <v>163</v>
      </c>
      <c r="G135" s="8" t="inlineStr"/>
      <c r="H135" s="8" t="n">
        <v>163</v>
      </c>
      <c r="I135" s="8" t="n">
        <v>0</v>
      </c>
      <c r="J135" s="8" t="inlineStr">
        <is>
          <t>neverContactedNow</t>
        </is>
      </c>
      <c r="K135" s="8" t="inlineStr">
        <is>
          <t>Open status and no First Contact</t>
        </is>
      </c>
      <c r="L135" s="8" t="n">
        <v>0</v>
      </c>
      <c r="M135" s="8" t="inlineStr">
        <is>
          <t>n/a</t>
        </is>
      </c>
      <c r="N135" s="15" t="inlineStr">
        <is>
          <t>Pass</t>
        </is>
      </c>
      <c r="O135" s="8" t="inlineStr"/>
    </row>
    <row r="136">
      <c r="A136" s="8" t="n">
        <v>135</v>
      </c>
      <c r="B136" s="8" t="inlineStr">
        <is>
          <t>Aging &amp; Follow-up</t>
        </is>
      </c>
      <c r="C136" s="8" t="inlineStr">
        <is>
          <t>Open Leads by Salesperson › CRM Administrator › Open</t>
        </is>
      </c>
      <c r="D136" s="8" t="n">
        <v>356</v>
      </c>
      <c r="E136" s="8" t="n">
        <v>356</v>
      </c>
      <c r="F136" s="8" t="n">
        <v>356</v>
      </c>
      <c r="G136" s="8" t="inlineStr"/>
      <c r="H136" s="8" t="n">
        <v>356</v>
      </c>
      <c r="I136" s="8" t="n">
        <v>0</v>
      </c>
      <c r="J136" s="8" t="inlineStr">
        <is>
          <t>openNow</t>
        </is>
      </c>
      <c r="K136" s="8" t="inlineStr">
        <is>
          <t>Open status (not Converted/Lost/Disqualified/Duplicate)</t>
        </is>
      </c>
      <c r="L136" s="8" t="n">
        <v>0</v>
      </c>
      <c r="M136" s="8" t="n">
        <v>0</v>
      </c>
      <c r="N136" s="15" t="inlineStr">
        <is>
          <t>Pass</t>
        </is>
      </c>
      <c r="O136" s="8" t="inlineStr"/>
    </row>
    <row r="137">
      <c r="A137" s="8" t="n">
        <v>136</v>
      </c>
      <c r="B137" s="8" t="inlineStr">
        <is>
          <t>Aging &amp; Follow-up</t>
        </is>
      </c>
      <c r="C137" s="8" t="inlineStr">
        <is>
          <t>Open Leads by Salesperson › CRM Administrator › Never Contacted</t>
        </is>
      </c>
      <c r="D137" s="8" t="n">
        <v>157</v>
      </c>
      <c r="E137" s="8" t="n">
        <v>157</v>
      </c>
      <c r="F137" s="8" t="n">
        <v>157</v>
      </c>
      <c r="G137" s="8" t="inlineStr"/>
      <c r="H137" s="8" t="n">
        <v>157</v>
      </c>
      <c r="I137" s="8" t="n">
        <v>0</v>
      </c>
      <c r="J137" s="8" t="inlineStr">
        <is>
          <t>neverContactedNow</t>
        </is>
      </c>
      <c r="K137" s="8" t="inlineStr">
        <is>
          <t>Open status and no First Contact</t>
        </is>
      </c>
      <c r="L137" s="8" t="n">
        <v>0</v>
      </c>
      <c r="M137" s="8" t="n">
        <v>0</v>
      </c>
      <c r="N137" s="15" t="inlineStr">
        <is>
          <t>Pass</t>
        </is>
      </c>
      <c r="O137" s="8" t="inlineStr"/>
    </row>
    <row r="138">
      <c r="A138" s="8" t="n">
        <v>137</v>
      </c>
      <c r="B138" s="8" t="inlineStr">
        <is>
          <t>Aging &amp; Follow-up</t>
        </is>
      </c>
      <c r="C138" s="8" t="inlineStr">
        <is>
          <t>Open Leads by Salesperson › Mahalakshmi › Open</t>
        </is>
      </c>
      <c r="D138" s="8" t="n">
        <v>4</v>
      </c>
      <c r="E138" s="8" t="n">
        <v>4</v>
      </c>
      <c r="F138" s="8" t="n">
        <v>4</v>
      </c>
      <c r="G138" s="8" t="inlineStr"/>
      <c r="H138" s="8" t="n">
        <v>4</v>
      </c>
      <c r="I138" s="8" t="n">
        <v>0</v>
      </c>
      <c r="J138" s="8" t="inlineStr">
        <is>
          <t>openNow</t>
        </is>
      </c>
      <c r="K138" s="8" t="inlineStr">
        <is>
          <t>Open status (not Converted/Lost/Disqualified/Duplicate)</t>
        </is>
      </c>
      <c r="L138" s="8" t="n">
        <v>0</v>
      </c>
      <c r="M138" s="8" t="n">
        <v>0</v>
      </c>
      <c r="N138" s="15" t="inlineStr">
        <is>
          <t>Pass</t>
        </is>
      </c>
      <c r="O138" s="8" t="inlineStr"/>
    </row>
    <row r="139">
      <c r="A139" s="8" t="n">
        <v>138</v>
      </c>
      <c r="B139" s="8" t="inlineStr">
        <is>
          <t>Aging &amp; Follow-up</t>
        </is>
      </c>
      <c r="C139" s="8" t="inlineStr">
        <is>
          <t>Open Leads by Salesperson › Mahalakshmi › Never Contacted</t>
        </is>
      </c>
      <c r="D139" s="8" t="n">
        <v>3</v>
      </c>
      <c r="E139" s="8" t="n">
        <v>3</v>
      </c>
      <c r="F139" s="8" t="n">
        <v>3</v>
      </c>
      <c r="G139" s="8" t="inlineStr"/>
      <c r="H139" s="8" t="n">
        <v>3</v>
      </c>
      <c r="I139" s="8" t="n">
        <v>0</v>
      </c>
      <c r="J139" s="8" t="inlineStr">
        <is>
          <t>neverContactedNow</t>
        </is>
      </c>
      <c r="K139" s="8" t="inlineStr">
        <is>
          <t>Open status and no First Contact</t>
        </is>
      </c>
      <c r="L139" s="8" t="n">
        <v>0</v>
      </c>
      <c r="M139" s="8" t="n">
        <v>0</v>
      </c>
      <c r="N139" s="15" t="inlineStr">
        <is>
          <t>Pass</t>
        </is>
      </c>
      <c r="O139" s="8" t="inlineStr"/>
    </row>
    <row r="140">
      <c r="A140" s="8" t="n">
        <v>139</v>
      </c>
      <c r="B140" s="8" t="inlineStr">
        <is>
          <t>Aging &amp; Follow-up</t>
        </is>
      </c>
      <c r="C140" s="8" t="inlineStr">
        <is>
          <t>Open Leads by Salesperson › Unassigned › Open</t>
        </is>
      </c>
      <c r="D140" s="8" t="n">
        <v>2</v>
      </c>
      <c r="E140" s="8" t="n">
        <v>2</v>
      </c>
      <c r="F140" s="8" t="n">
        <v>2</v>
      </c>
      <c r="G140" s="8" t="inlineStr"/>
      <c r="H140" s="8" t="n">
        <v>2</v>
      </c>
      <c r="I140" s="8" t="n">
        <v>0</v>
      </c>
      <c r="J140" s="8" t="inlineStr">
        <is>
          <t>openNow</t>
        </is>
      </c>
      <c r="K140" s="8" t="inlineStr">
        <is>
          <t>Open status (not Converted/Lost/Disqualified/Duplicate)</t>
        </is>
      </c>
      <c r="L140" s="8" t="n">
        <v>0</v>
      </c>
      <c r="M140" s="8" t="n">
        <v>0</v>
      </c>
      <c r="N140" s="15" t="inlineStr">
        <is>
          <t>Pass</t>
        </is>
      </c>
      <c r="O140" s="8" t="inlineStr"/>
    </row>
    <row r="141">
      <c r="A141" s="8" t="n">
        <v>140</v>
      </c>
      <c r="B141" s="8" t="inlineStr">
        <is>
          <t>Aging &amp; Follow-up</t>
        </is>
      </c>
      <c r="C141" s="8" t="inlineStr">
        <is>
          <t>Open Leads by Salesperson › Unassigned › Never Contacted</t>
        </is>
      </c>
      <c r="D141" s="8" t="n">
        <v>2</v>
      </c>
      <c r="E141" s="8" t="n">
        <v>2</v>
      </c>
      <c r="F141" s="8" t="n">
        <v>2</v>
      </c>
      <c r="G141" s="8" t="inlineStr"/>
      <c r="H141" s="8" t="n">
        <v>2</v>
      </c>
      <c r="I141" s="8" t="n">
        <v>0</v>
      </c>
      <c r="J141" s="8" t="inlineStr">
        <is>
          <t>neverContactedNow</t>
        </is>
      </c>
      <c r="K141" s="8" t="inlineStr">
        <is>
          <t>Open status and no First Contact</t>
        </is>
      </c>
      <c r="L141" s="8" t="n">
        <v>0</v>
      </c>
      <c r="M141" s="8" t="n">
        <v>0</v>
      </c>
      <c r="N141" s="15" t="inlineStr">
        <is>
          <t>Pass</t>
        </is>
      </c>
      <c r="O141" s="8" t="inlineStr"/>
    </row>
    <row r="142">
      <c r="A142" s="8" t="n">
        <v>141</v>
      </c>
      <c r="B142" s="8" t="inlineStr">
        <is>
          <t>Aging &amp; Follow-up</t>
        </is>
      </c>
      <c r="C142" s="8" t="inlineStr">
        <is>
          <t>Open Leads by Salesperson › QA Lead Assignee › Open</t>
        </is>
      </c>
      <c r="D142" s="8" t="n">
        <v>1</v>
      </c>
      <c r="E142" s="8" t="n">
        <v>1</v>
      </c>
      <c r="F142" s="8" t="n">
        <v>1</v>
      </c>
      <c r="G142" s="8" t="inlineStr"/>
      <c r="H142" s="8" t="n">
        <v>1</v>
      </c>
      <c r="I142" s="8" t="n">
        <v>0</v>
      </c>
      <c r="J142" s="8" t="inlineStr">
        <is>
          <t>openNow</t>
        </is>
      </c>
      <c r="K142" s="8" t="inlineStr">
        <is>
          <t>Open status (not Converted/Lost/Disqualified/Duplicate)</t>
        </is>
      </c>
      <c r="L142" s="8" t="n">
        <v>0</v>
      </c>
      <c r="M142" s="8" t="n">
        <v>0</v>
      </c>
      <c r="N142" s="15" t="inlineStr">
        <is>
          <t>Pass</t>
        </is>
      </c>
      <c r="O142" s="8" t="inlineStr"/>
    </row>
    <row r="143">
      <c r="A143" s="8" t="n">
        <v>142</v>
      </c>
      <c r="B143" s="8" t="inlineStr">
        <is>
          <t>Aging &amp; Follow-up</t>
        </is>
      </c>
      <c r="C143" s="8" t="inlineStr">
        <is>
          <t>Open Leads by Salesperson › QA Lead Assignee › Never Contacted</t>
        </is>
      </c>
      <c r="D143" s="8" t="n">
        <v>1</v>
      </c>
      <c r="E143" s="8" t="n">
        <v>1</v>
      </c>
      <c r="F143" s="8" t="n">
        <v>1</v>
      </c>
      <c r="G143" s="8" t="inlineStr"/>
      <c r="H143" s="8" t="n">
        <v>1</v>
      </c>
      <c r="I143" s="8" t="n">
        <v>0</v>
      </c>
      <c r="J143" s="8" t="inlineStr">
        <is>
          <t>neverContactedNow</t>
        </is>
      </c>
      <c r="K143" s="8" t="inlineStr">
        <is>
          <t>Open status and no First Contact</t>
        </is>
      </c>
      <c r="L143" s="8" t="n">
        <v>0</v>
      </c>
      <c r="M143" s="8" t="n">
        <v>0</v>
      </c>
      <c r="N143" s="15" t="inlineStr">
        <is>
          <t>Pass</t>
        </is>
      </c>
      <c r="O143" s="8" t="inlineStr"/>
    </row>
    <row r="144">
      <c r="A144" s="8" t="n">
        <v>143</v>
      </c>
      <c r="B144" s="8" t="inlineStr">
        <is>
          <t>Aging &amp; Follow-up</t>
        </is>
      </c>
      <c r="C144" s="8" t="inlineStr">
        <is>
          <t>Open Leads by Salesperson › QA Lead Reviewer › Open</t>
        </is>
      </c>
      <c r="D144" s="8" t="n">
        <v>1</v>
      </c>
      <c r="E144" s="8" t="n">
        <v>1</v>
      </c>
      <c r="F144" s="8" t="n">
        <v>1</v>
      </c>
      <c r="G144" s="8" t="inlineStr"/>
      <c r="H144" s="8" t="n">
        <v>1</v>
      </c>
      <c r="I144" s="8" t="n">
        <v>0</v>
      </c>
      <c r="J144" s="8" t="inlineStr">
        <is>
          <t>openNow</t>
        </is>
      </c>
      <c r="K144" s="8" t="inlineStr">
        <is>
          <t>Open status (not Converted/Lost/Disqualified/Duplicate)</t>
        </is>
      </c>
      <c r="L144" s="8" t="n">
        <v>0</v>
      </c>
      <c r="M144" s="8" t="n">
        <v>0</v>
      </c>
      <c r="N144" s="15" t="inlineStr">
        <is>
          <t>Pass</t>
        </is>
      </c>
      <c r="O144" s="8" t="inlineStr"/>
    </row>
    <row r="145">
      <c r="A145" s="8" t="n">
        <v>144</v>
      </c>
      <c r="B145" s="8" t="inlineStr">
        <is>
          <t>Qualification &amp; Conversion</t>
        </is>
      </c>
      <c r="C145" s="8" t="inlineStr">
        <is>
          <t>Lost Reasons › View lost leads</t>
        </is>
      </c>
      <c r="D145" s="8" t="n">
        <v>128</v>
      </c>
      <c r="E145" s="8" t="n">
        <v>128</v>
      </c>
      <c r="F145" s="8" t="n">
        <v>128</v>
      </c>
      <c r="G145" s="8" t="inlineStr"/>
      <c r="H145" s="8" t="n">
        <v>128</v>
      </c>
      <c r="I145" s="8" t="n">
        <v>0</v>
      </c>
      <c r="J145" s="8" t="inlineStr">
        <is>
          <t>lost</t>
        </is>
      </c>
      <c r="K145" s="8" t="inlineStr">
        <is>
          <t>Status Lost / Disqualified</t>
        </is>
      </c>
      <c r="L145" s="8" t="n">
        <v>0</v>
      </c>
      <c r="M145" s="8" t="inlineStr">
        <is>
          <t>n/a</t>
        </is>
      </c>
      <c r="N145" s="15" t="inlineStr">
        <is>
          <t>Pass</t>
        </is>
      </c>
      <c r="O145" s="8" t="inlineStr">
        <is>
          <t>Button has no number: compared with the Lost Reasons total (127 + 1 = 128)</t>
        </is>
      </c>
    </row>
    <row r="146">
      <c r="A146" s="8" t="n">
        <v>145</v>
      </c>
      <c r="B146" s="8" t="inlineStr">
        <is>
          <t>Salesperson Scorecard</t>
        </is>
      </c>
      <c r="C146" s="8" t="inlineStr">
        <is>
          <t>Salesperson Scorecard › CRM Administrator › Leads</t>
        </is>
      </c>
      <c r="D146" s="8" t="n">
        <v>597</v>
      </c>
      <c r="E146" s="8" t="n">
        <v>597</v>
      </c>
      <c r="F146" s="8" t="n">
        <v>500</v>
      </c>
      <c r="G146" s="8" t="inlineStr">
        <is>
          <t>Yes</t>
        </is>
      </c>
      <c r="H146" s="8" t="n">
        <v>597</v>
      </c>
      <c r="I146" s="8" t="n">
        <v>0</v>
      </c>
      <c r="J146" s="8" t="inlineStr">
        <is>
          <t>captured</t>
        </is>
      </c>
      <c r="K146" s="8" t="inlineStr">
        <is>
          <t>Captured date present</t>
        </is>
      </c>
      <c r="L146" s="8" t="n">
        <v>0</v>
      </c>
      <c r="M146" s="8" t="n">
        <v>0</v>
      </c>
      <c r="N146" s="15" t="inlineStr">
        <is>
          <t>Pass</t>
        </is>
      </c>
      <c r="O146" s="8" t="inlineStr"/>
    </row>
    <row r="147">
      <c r="A147" s="8" t="n">
        <v>146</v>
      </c>
      <c r="B147" s="8" t="inlineStr">
        <is>
          <t>Salesperson Scorecard</t>
        </is>
      </c>
      <c r="C147" s="8" t="inlineStr">
        <is>
          <t>Salesperson Scorecard › CRM Administrator › Contacted</t>
        </is>
      </c>
      <c r="D147" s="8" t="n">
        <v>313</v>
      </c>
      <c r="E147" s="8" t="n">
        <v>313</v>
      </c>
      <c r="F147" s="8" t="n">
        <v>313</v>
      </c>
      <c r="G147" s="8" t="inlineStr"/>
      <c r="H147" s="8" t="n">
        <v>313</v>
      </c>
      <c r="I147" s="8" t="n">
        <v>0</v>
      </c>
      <c r="J147" s="8" t="inlineStr">
        <is>
          <t>contacted</t>
        </is>
      </c>
      <c r="K147" s="8" t="inlineStr">
        <is>
          <t>First Contact date present, or status Contacted or later (page definition)</t>
        </is>
      </c>
      <c r="L147" s="8" t="n">
        <v>0</v>
      </c>
      <c r="M147" s="8" t="n">
        <v>0</v>
      </c>
      <c r="N147" s="15" t="inlineStr">
        <is>
          <t>Pass</t>
        </is>
      </c>
      <c r="O147" s="8" t="inlineStr">
        <is>
          <t>71 rows break "First Contact date present"</t>
        </is>
      </c>
    </row>
    <row r="148">
      <c r="A148" s="8" t="n">
        <v>147</v>
      </c>
      <c r="B148" s="8" t="inlineStr">
        <is>
          <t>Salesperson Scorecard</t>
        </is>
      </c>
      <c r="C148" s="8" t="inlineStr">
        <is>
          <t>Salesperson Scorecard › CRM Administrator › Qualified</t>
        </is>
      </c>
      <c r="D148" s="8" t="n">
        <v>241</v>
      </c>
      <c r="E148" s="8" t="n">
        <v>241</v>
      </c>
      <c r="F148" s="8" t="n">
        <v>241</v>
      </c>
      <c r="G148" s="8" t="inlineStr"/>
      <c r="H148" s="8" t="n">
        <v>241</v>
      </c>
      <c r="I148" s="8" t="n">
        <v>0</v>
      </c>
      <c r="J148" s="8" t="inlineStr">
        <is>
          <t>qualified</t>
        </is>
      </c>
      <c r="K148" s="8" t="inlineStr">
        <is>
          <t>Qualified date present</t>
        </is>
      </c>
      <c r="L148" s="8" t="n">
        <v>0</v>
      </c>
      <c r="M148" s="8" t="n">
        <v>0</v>
      </c>
      <c r="N148" s="15" t="inlineStr">
        <is>
          <t>Pass</t>
        </is>
      </c>
      <c r="O148" s="8" t="inlineStr"/>
    </row>
    <row r="149">
      <c r="A149" s="8" t="n">
        <v>148</v>
      </c>
      <c r="B149" s="8" t="inlineStr">
        <is>
          <t>Salesperson Scorecard</t>
        </is>
      </c>
      <c r="C149" s="8" t="inlineStr">
        <is>
          <t>Salesperson Scorecard › CRM Administrator › Opportunity</t>
        </is>
      </c>
      <c r="D149" s="8" t="n">
        <v>114</v>
      </c>
      <c r="E149" s="8" t="n">
        <v>114</v>
      </c>
      <c r="F149" s="8" t="n">
        <v>114</v>
      </c>
      <c r="G149" s="8" t="inlineStr"/>
      <c r="H149" s="8" t="n">
        <v>114</v>
      </c>
      <c r="I149" s="8" t="n">
        <v>0</v>
      </c>
      <c r="J149" s="8" t="inlineStr">
        <is>
          <t>converted</t>
        </is>
      </c>
      <c r="K149" s="8" t="inlineStr">
        <is>
          <t>Status Converted / Opportunity Created</t>
        </is>
      </c>
      <c r="L149" s="8" t="n">
        <v>0</v>
      </c>
      <c r="M149" s="8" t="n">
        <v>0</v>
      </c>
      <c r="N149" s="15" t="inlineStr">
        <is>
          <t>Pass</t>
        </is>
      </c>
      <c r="O149" s="8" t="inlineStr"/>
    </row>
    <row r="150">
      <c r="A150" s="8" t="n">
        <v>149</v>
      </c>
      <c r="B150" s="8" t="inlineStr">
        <is>
          <t>Salesperson Scorecard</t>
        </is>
      </c>
      <c r="C150" s="8" t="inlineStr">
        <is>
          <t>Salesperson Scorecard › CRM Administrator › SPA Signed</t>
        </is>
      </c>
      <c r="D150" s="8" t="n">
        <v>75</v>
      </c>
      <c r="E150" s="8" t="n">
        <v>75</v>
      </c>
      <c r="F150" s="8" t="n">
        <v>75</v>
      </c>
      <c r="G150" s="8" t="inlineStr"/>
      <c r="H150" s="8" t="n">
        <v>75</v>
      </c>
      <c r="I150" s="8" t="n">
        <v>0</v>
      </c>
      <c r="J150" s="8" t="inlineStr">
        <is>
          <t>won</t>
        </is>
      </c>
      <c r="K150" s="8" t="inlineStr">
        <is>
          <t>Won Value &gt; 0</t>
        </is>
      </c>
      <c r="L150" s="8" t="n">
        <v>0</v>
      </c>
      <c r="M150" s="8" t="n">
        <v>0</v>
      </c>
      <c r="N150" s="15" t="inlineStr">
        <is>
          <t>Pass</t>
        </is>
      </c>
      <c r="O150" s="8" t="inlineStr"/>
    </row>
    <row r="151">
      <c r="A151" s="8" t="n">
        <v>150</v>
      </c>
      <c r="B151" s="8" t="inlineStr">
        <is>
          <t>Salesperson Scorecard</t>
        </is>
      </c>
      <c r="C151" s="8" t="inlineStr">
        <is>
          <t>Salesperson Scorecard › CRM Administrator › Open Now</t>
        </is>
      </c>
      <c r="D151" s="8" t="n">
        <v>356</v>
      </c>
      <c r="E151" s="8" t="n">
        <v>356</v>
      </c>
      <c r="F151" s="8" t="n">
        <v>356</v>
      </c>
      <c r="G151" s="8" t="inlineStr"/>
      <c r="H151" s="8" t="n">
        <v>356</v>
      </c>
      <c r="I151" s="8" t="n">
        <v>0</v>
      </c>
      <c r="J151" s="8" t="inlineStr">
        <is>
          <t>openNow</t>
        </is>
      </c>
      <c r="K151" s="8" t="inlineStr">
        <is>
          <t>Open status (not Converted/Lost/Disqualified/Duplicate)</t>
        </is>
      </c>
      <c r="L151" s="8" t="n">
        <v>0</v>
      </c>
      <c r="M151" s="8" t="n">
        <v>0</v>
      </c>
      <c r="N151" s="15" t="inlineStr">
        <is>
          <t>Pass</t>
        </is>
      </c>
      <c r="O151" s="8" t="inlineStr"/>
    </row>
    <row r="152">
      <c r="A152" s="8" t="n">
        <v>151</v>
      </c>
      <c r="B152" s="8" t="inlineStr">
        <is>
          <t>Salesperson Scorecard</t>
        </is>
      </c>
      <c r="C152" s="8" t="inlineStr">
        <is>
          <t>Salesperson Scorecard › CRM Administrator › Idle &gt; 30 d</t>
        </is>
      </c>
      <c r="D152" s="8" t="n">
        <v>341</v>
      </c>
      <c r="E152" s="8" t="n">
        <v>341</v>
      </c>
      <c r="F152" s="8" t="n">
        <v>341</v>
      </c>
      <c r="G152" s="8" t="inlineStr"/>
      <c r="H152" s="8" t="n">
        <v>341</v>
      </c>
      <c r="I152" s="8" t="n">
        <v>0</v>
      </c>
      <c r="J152" s="8" t="inlineStr">
        <is>
          <t>idleNow</t>
        </is>
      </c>
      <c r="K152" s="8" t="inlineStr">
        <is>
          <t>Open status and Idle &gt; 30 d</t>
        </is>
      </c>
      <c r="L152" s="8" t="n">
        <v>0</v>
      </c>
      <c r="M152" s="8" t="n">
        <v>0</v>
      </c>
      <c r="N152" s="15" t="inlineStr">
        <is>
          <t>Pass</t>
        </is>
      </c>
      <c r="O152" s="8" t="inlineStr"/>
    </row>
    <row r="153">
      <c r="A153" s="8" t="n">
        <v>152</v>
      </c>
      <c r="B153" s="8" t="inlineStr">
        <is>
          <t>Salesperson Scorecard</t>
        </is>
      </c>
      <c r="C153" s="8" t="inlineStr">
        <is>
          <t>Salesperson Scorecard › CRM Administrator › Never Contacted</t>
        </is>
      </c>
      <c r="D153" s="8" t="n">
        <v>157</v>
      </c>
      <c r="E153" s="8" t="n">
        <v>157</v>
      </c>
      <c r="F153" s="8" t="n">
        <v>157</v>
      </c>
      <c r="G153" s="8" t="inlineStr"/>
      <c r="H153" s="8" t="n">
        <v>157</v>
      </c>
      <c r="I153" s="8" t="n">
        <v>0</v>
      </c>
      <c r="J153" s="8" t="inlineStr">
        <is>
          <t>neverContactedNow</t>
        </is>
      </c>
      <c r="K153" s="8" t="inlineStr">
        <is>
          <t>Open status and no First Contact</t>
        </is>
      </c>
      <c r="L153" s="8" t="n">
        <v>0</v>
      </c>
      <c r="M153" s="8" t="n">
        <v>0</v>
      </c>
      <c r="N153" s="15" t="inlineStr">
        <is>
          <t>Pass</t>
        </is>
      </c>
      <c r="O153" s="8" t="inlineStr"/>
    </row>
    <row r="154">
      <c r="A154" s="8" t="n">
        <v>153</v>
      </c>
      <c r="B154" s="8" t="inlineStr">
        <is>
          <t>Salesperson Scorecard</t>
        </is>
      </c>
      <c r="C154" s="8" t="inlineStr">
        <is>
          <t>Salesperson Scorecard › QA Lead Reviewer › Leads</t>
        </is>
      </c>
      <c r="D154" s="8" t="n">
        <v>6</v>
      </c>
      <c r="E154" s="8" t="n">
        <v>6</v>
      </c>
      <c r="F154" s="8" t="n">
        <v>6</v>
      </c>
      <c r="G154" s="8" t="inlineStr"/>
      <c r="H154" s="8" t="n">
        <v>6</v>
      </c>
      <c r="I154" s="8" t="n">
        <v>0</v>
      </c>
      <c r="J154" s="8" t="inlineStr">
        <is>
          <t>captured</t>
        </is>
      </c>
      <c r="K154" s="8" t="inlineStr">
        <is>
          <t>Captured date present</t>
        </is>
      </c>
      <c r="L154" s="8" t="n">
        <v>0</v>
      </c>
      <c r="M154" s="8" t="n">
        <v>0</v>
      </c>
      <c r="N154" s="15" t="inlineStr">
        <is>
          <t>Pass</t>
        </is>
      </c>
      <c r="O154" s="8" t="inlineStr"/>
    </row>
    <row r="155">
      <c r="A155" s="8" t="n">
        <v>154</v>
      </c>
      <c r="B155" s="8" t="inlineStr">
        <is>
          <t>Salesperson Scorecard</t>
        </is>
      </c>
      <c r="C155" s="8" t="inlineStr">
        <is>
          <t>Salesperson Scorecard › QA Lead Reviewer › Contacted</t>
        </is>
      </c>
      <c r="D155" s="8" t="n">
        <v>6</v>
      </c>
      <c r="E155" s="8" t="n">
        <v>6</v>
      </c>
      <c r="F155" s="8" t="n">
        <v>6</v>
      </c>
      <c r="G155" s="8" t="inlineStr"/>
      <c r="H155" s="8" t="n">
        <v>6</v>
      </c>
      <c r="I155" s="8" t="n">
        <v>0</v>
      </c>
      <c r="J155" s="8" t="inlineStr">
        <is>
          <t>contacted</t>
        </is>
      </c>
      <c r="K155" s="8" t="inlineStr">
        <is>
          <t>First Contact date present</t>
        </is>
      </c>
      <c r="L155" s="8" t="n">
        <v>0</v>
      </c>
      <c r="M155" s="8" t="n">
        <v>0</v>
      </c>
      <c r="N155" s="15" t="inlineStr">
        <is>
          <t>Pass</t>
        </is>
      </c>
      <c r="O155" s="8" t="inlineStr"/>
    </row>
    <row r="156">
      <c r="A156" s="8" t="n">
        <v>155</v>
      </c>
      <c r="B156" s="8" t="inlineStr">
        <is>
          <t>Salesperson Scorecard</t>
        </is>
      </c>
      <c r="C156" s="8" t="inlineStr">
        <is>
          <t>Salesperson Scorecard › QA Lead Reviewer › Qualified</t>
        </is>
      </c>
      <c r="D156" s="8" t="n">
        <v>6</v>
      </c>
      <c r="E156" s="8" t="n">
        <v>6</v>
      </c>
      <c r="F156" s="8" t="n">
        <v>6</v>
      </c>
      <c r="G156" s="8" t="inlineStr"/>
      <c r="H156" s="8" t="n">
        <v>6</v>
      </c>
      <c r="I156" s="8" t="n">
        <v>0</v>
      </c>
      <c r="J156" s="8" t="inlineStr">
        <is>
          <t>qualified</t>
        </is>
      </c>
      <c r="K156" s="8" t="inlineStr">
        <is>
          <t>Qualified date present</t>
        </is>
      </c>
      <c r="L156" s="8" t="n">
        <v>0</v>
      </c>
      <c r="M156" s="8" t="n">
        <v>0</v>
      </c>
      <c r="N156" s="15" t="inlineStr">
        <is>
          <t>Pass</t>
        </is>
      </c>
      <c r="O156" s="8" t="inlineStr"/>
    </row>
    <row r="157">
      <c r="A157" s="8" t="n">
        <v>156</v>
      </c>
      <c r="B157" s="8" t="inlineStr">
        <is>
          <t>Salesperson Scorecard</t>
        </is>
      </c>
      <c r="C157" s="8" t="inlineStr">
        <is>
          <t>Salesperson Scorecard › QA Lead Reviewer › Opportunity</t>
        </is>
      </c>
      <c r="D157" s="8" t="n">
        <v>5</v>
      </c>
      <c r="E157" s="8" t="n">
        <v>5</v>
      </c>
      <c r="F157" s="8" t="n">
        <v>5</v>
      </c>
      <c r="G157" s="8" t="inlineStr"/>
      <c r="H157" s="8" t="n">
        <v>5</v>
      </c>
      <c r="I157" s="8" t="n">
        <v>0</v>
      </c>
      <c r="J157" s="8" t="inlineStr">
        <is>
          <t>converted</t>
        </is>
      </c>
      <c r="K157" s="8" t="inlineStr">
        <is>
          <t>Status Converted / Opportunity Created</t>
        </is>
      </c>
      <c r="L157" s="8" t="n">
        <v>0</v>
      </c>
      <c r="M157" s="8" t="n">
        <v>0</v>
      </c>
      <c r="N157" s="15" t="inlineStr">
        <is>
          <t>Pass</t>
        </is>
      </c>
      <c r="O157" s="8" t="inlineStr"/>
    </row>
    <row r="158">
      <c r="A158" s="8" t="n">
        <v>157</v>
      </c>
      <c r="B158" s="8" t="inlineStr">
        <is>
          <t>Salesperson Scorecard</t>
        </is>
      </c>
      <c r="C158" s="8" t="inlineStr">
        <is>
          <t>Salesperson Scorecard › QA Lead Reviewer › SPA Signed</t>
        </is>
      </c>
      <c r="D158" s="8" t="n">
        <v>1</v>
      </c>
      <c r="E158" s="8" t="n">
        <v>1</v>
      </c>
      <c r="F158" s="8" t="n">
        <v>1</v>
      </c>
      <c r="G158" s="8" t="inlineStr"/>
      <c r="H158" s="8" t="n">
        <v>1</v>
      </c>
      <c r="I158" s="8" t="n">
        <v>0</v>
      </c>
      <c r="J158" s="8" t="inlineStr">
        <is>
          <t>won</t>
        </is>
      </c>
      <c r="K158" s="8" t="inlineStr">
        <is>
          <t>Won Value &gt; 0</t>
        </is>
      </c>
      <c r="L158" s="8" t="n">
        <v>0</v>
      </c>
      <c r="M158" s="8" t="n">
        <v>0</v>
      </c>
      <c r="N158" s="15" t="inlineStr">
        <is>
          <t>Pass</t>
        </is>
      </c>
      <c r="O158" s="8" t="inlineStr"/>
    </row>
    <row r="159">
      <c r="A159" s="8" t="n">
        <v>158</v>
      </c>
      <c r="B159" s="8" t="inlineStr">
        <is>
          <t>Salesperson Scorecard</t>
        </is>
      </c>
      <c r="C159" s="8" t="inlineStr">
        <is>
          <t>Salesperson Scorecard › QA Lead Reviewer › Open Now</t>
        </is>
      </c>
      <c r="D159" s="8" t="n">
        <v>1</v>
      </c>
      <c r="E159" s="8" t="n">
        <v>1</v>
      </c>
      <c r="F159" s="8" t="n">
        <v>1</v>
      </c>
      <c r="G159" s="8" t="inlineStr"/>
      <c r="H159" s="8" t="n">
        <v>1</v>
      </c>
      <c r="I159" s="8" t="n">
        <v>0</v>
      </c>
      <c r="J159" s="8" t="inlineStr">
        <is>
          <t>openNow</t>
        </is>
      </c>
      <c r="K159" s="8" t="inlineStr">
        <is>
          <t>Open status (not Converted/Lost/Disqualified/Duplicate)</t>
        </is>
      </c>
      <c r="L159" s="8" t="n">
        <v>0</v>
      </c>
      <c r="M159" s="8" t="n">
        <v>0</v>
      </c>
      <c r="N159" s="15" t="inlineStr">
        <is>
          <t>Pass</t>
        </is>
      </c>
      <c r="O159" s="8" t="inlineStr"/>
    </row>
    <row r="160">
      <c r="A160" s="8" t="n">
        <v>159</v>
      </c>
      <c r="B160" s="8" t="inlineStr">
        <is>
          <t>Salesperson Scorecard</t>
        </is>
      </c>
      <c r="C160" s="8" t="inlineStr">
        <is>
          <t>Salesperson Scorecard › QA Lead Reviewer › Idle &gt; 30 d</t>
        </is>
      </c>
      <c r="D160" s="8" t="n">
        <v>1</v>
      </c>
      <c r="E160" s="8" t="n">
        <v>1</v>
      </c>
      <c r="F160" s="8" t="n">
        <v>1</v>
      </c>
      <c r="G160" s="8" t="inlineStr"/>
      <c r="H160" s="8" t="n">
        <v>1</v>
      </c>
      <c r="I160" s="8" t="n">
        <v>0</v>
      </c>
      <c r="J160" s="8" t="inlineStr">
        <is>
          <t>idleNow</t>
        </is>
      </c>
      <c r="K160" s="8" t="inlineStr">
        <is>
          <t>Open status and Idle &gt; 30 d</t>
        </is>
      </c>
      <c r="L160" s="8" t="n">
        <v>0</v>
      </c>
      <c r="M160" s="8" t="n">
        <v>0</v>
      </c>
      <c r="N160" s="15" t="inlineStr">
        <is>
          <t>Pass</t>
        </is>
      </c>
      <c r="O160" s="8" t="inlineStr"/>
    </row>
    <row r="161">
      <c r="A161" s="8" t="n">
        <v>160</v>
      </c>
      <c r="B161" s="8" t="inlineStr">
        <is>
          <t>Salesperson Scorecard</t>
        </is>
      </c>
      <c r="C161" s="8" t="inlineStr">
        <is>
          <t>Salesperson Scorecard › Mahalakshmi › Leads</t>
        </is>
      </c>
      <c r="D161" s="8" t="n">
        <v>1</v>
      </c>
      <c r="E161" s="8" t="n">
        <v>1</v>
      </c>
      <c r="F161" s="8" t="n">
        <v>1</v>
      </c>
      <c r="G161" s="8" t="inlineStr"/>
      <c r="H161" s="8" t="n">
        <v>1</v>
      </c>
      <c r="I161" s="8" t="n">
        <v>0</v>
      </c>
      <c r="J161" s="8" t="inlineStr">
        <is>
          <t>captured</t>
        </is>
      </c>
      <c r="K161" s="8" t="inlineStr">
        <is>
          <t>Captured date present</t>
        </is>
      </c>
      <c r="L161" s="8" t="n">
        <v>0</v>
      </c>
      <c r="M161" s="8" t="n">
        <v>0</v>
      </c>
      <c r="N161" s="15" t="inlineStr">
        <is>
          <t>Pass</t>
        </is>
      </c>
      <c r="O161" s="8" t="inlineStr"/>
    </row>
    <row r="162">
      <c r="A162" s="8" t="n">
        <v>161</v>
      </c>
      <c r="B162" s="8" t="inlineStr">
        <is>
          <t>Salesperson Scorecard</t>
        </is>
      </c>
      <c r="C162" s="8" t="inlineStr">
        <is>
          <t>Salesperson Scorecard › Mahalakshmi › Contacted</t>
        </is>
      </c>
      <c r="D162" s="8" t="n">
        <v>1</v>
      </c>
      <c r="E162" s="8" t="n">
        <v>1</v>
      </c>
      <c r="F162" s="8" t="n">
        <v>1</v>
      </c>
      <c r="G162" s="8" t="inlineStr"/>
      <c r="H162" s="8" t="n">
        <v>1</v>
      </c>
      <c r="I162" s="8" t="n">
        <v>0</v>
      </c>
      <c r="J162" s="8" t="inlineStr">
        <is>
          <t>contacted</t>
        </is>
      </c>
      <c r="K162" s="8" t="inlineStr">
        <is>
          <t>First Contact date present</t>
        </is>
      </c>
      <c r="L162" s="8" t="n">
        <v>0</v>
      </c>
      <c r="M162" s="8" t="n">
        <v>0</v>
      </c>
      <c r="N162" s="15" t="inlineStr">
        <is>
          <t>Pass</t>
        </is>
      </c>
      <c r="O162" s="8" t="inlineStr"/>
    </row>
    <row r="163">
      <c r="A163" s="8" t="n">
        <v>162</v>
      </c>
      <c r="B163" s="8" t="inlineStr">
        <is>
          <t>Salesperson Scorecard</t>
        </is>
      </c>
      <c r="C163" s="8" t="inlineStr">
        <is>
          <t>Salesperson Scorecard › Mahalakshmi › Qualified</t>
        </is>
      </c>
      <c r="D163" s="8" t="n">
        <v>1</v>
      </c>
      <c r="E163" s="8" t="n">
        <v>1</v>
      </c>
      <c r="F163" s="8" t="n">
        <v>1</v>
      </c>
      <c r="G163" s="8" t="inlineStr"/>
      <c r="H163" s="8" t="n">
        <v>1</v>
      </c>
      <c r="I163" s="8" t="n">
        <v>0</v>
      </c>
      <c r="J163" s="8" t="inlineStr">
        <is>
          <t>qualified</t>
        </is>
      </c>
      <c r="K163" s="8" t="inlineStr">
        <is>
          <t>Qualified date present</t>
        </is>
      </c>
      <c r="L163" s="8" t="n">
        <v>0</v>
      </c>
      <c r="M163" s="8" t="n">
        <v>0</v>
      </c>
      <c r="N163" s="15" t="inlineStr">
        <is>
          <t>Pass</t>
        </is>
      </c>
      <c r="O163" s="8" t="inlineStr"/>
    </row>
    <row r="164">
      <c r="A164" s="8" t="n">
        <v>163</v>
      </c>
      <c r="B164" s="8" t="inlineStr">
        <is>
          <t>Salesperson Scorecard</t>
        </is>
      </c>
      <c r="C164" s="8" t="inlineStr">
        <is>
          <t>Salesperson Scorecard › Mahalakshmi › Opportunity</t>
        </is>
      </c>
      <c r="D164" s="8" t="n">
        <v>1</v>
      </c>
      <c r="E164" s="8" t="n">
        <v>1</v>
      </c>
      <c r="F164" s="8" t="n">
        <v>1</v>
      </c>
      <c r="G164" s="8" t="inlineStr"/>
      <c r="H164" s="8" t="n">
        <v>1</v>
      </c>
      <c r="I164" s="8" t="n">
        <v>0</v>
      </c>
      <c r="J164" s="8" t="inlineStr">
        <is>
          <t>converted</t>
        </is>
      </c>
      <c r="K164" s="8" t="inlineStr">
        <is>
          <t>Status Converted / Opportunity Created</t>
        </is>
      </c>
      <c r="L164" s="8" t="n">
        <v>0</v>
      </c>
      <c r="M164" s="8" t="n">
        <v>0</v>
      </c>
      <c r="N164" s="15" t="inlineStr">
        <is>
          <t>Pass</t>
        </is>
      </c>
      <c r="O164" s="8" t="inlineStr"/>
    </row>
    <row r="165">
      <c r="A165" s="8" t="n">
        <v>164</v>
      </c>
      <c r="B165" s="8" t="inlineStr">
        <is>
          <t>Salesperson Scorecard</t>
        </is>
      </c>
      <c r="C165" s="8" t="inlineStr">
        <is>
          <t>Salesperson Scorecard › QA Sales Manager › Leads</t>
        </is>
      </c>
      <c r="D165" s="8" t="n">
        <v>1</v>
      </c>
      <c r="E165" s="8" t="n">
        <v>1</v>
      </c>
      <c r="F165" s="8" t="n">
        <v>1</v>
      </c>
      <c r="G165" s="8" t="inlineStr"/>
      <c r="H165" s="8" t="n">
        <v>1</v>
      </c>
      <c r="I165" s="8" t="n">
        <v>0</v>
      </c>
      <c r="J165" s="8" t="inlineStr">
        <is>
          <t>captured</t>
        </is>
      </c>
      <c r="K165" s="8" t="inlineStr">
        <is>
          <t>Captured date present</t>
        </is>
      </c>
      <c r="L165" s="8" t="n">
        <v>0</v>
      </c>
      <c r="M165" s="8" t="n">
        <v>0</v>
      </c>
      <c r="N165" s="15" t="inlineStr">
        <is>
          <t>Pass</t>
        </is>
      </c>
      <c r="O165" s="8" t="inlineStr"/>
    </row>
    <row r="166">
      <c r="A166" s="8" t="n">
        <v>165</v>
      </c>
      <c r="B166" s="8" t="inlineStr">
        <is>
          <t>Salesperson Scorecard</t>
        </is>
      </c>
      <c r="C166" s="8" t="inlineStr">
        <is>
          <t>Salesperson Scorecard › QA Sales Manager › Contacted</t>
        </is>
      </c>
      <c r="D166" s="8" t="n">
        <v>1</v>
      </c>
      <c r="E166" s="8" t="n">
        <v>1</v>
      </c>
      <c r="F166" s="8" t="n">
        <v>1</v>
      </c>
      <c r="G166" s="8" t="inlineStr"/>
      <c r="H166" s="8" t="n">
        <v>1</v>
      </c>
      <c r="I166" s="8" t="n">
        <v>0</v>
      </c>
      <c r="J166" s="8" t="inlineStr">
        <is>
          <t>contacted</t>
        </is>
      </c>
      <c r="K166" s="8" t="inlineStr">
        <is>
          <t>First Contact date present</t>
        </is>
      </c>
      <c r="L166" s="8" t="n">
        <v>0</v>
      </c>
      <c r="M166" s="8" t="n">
        <v>0</v>
      </c>
      <c r="N166" s="15" t="inlineStr">
        <is>
          <t>Pass</t>
        </is>
      </c>
      <c r="O166" s="8" t="inlineStr"/>
    </row>
    <row r="167">
      <c r="A167" s="8" t="n">
        <v>166</v>
      </c>
      <c r="B167" s="8" t="inlineStr">
        <is>
          <t>Salesperson Scorecard</t>
        </is>
      </c>
      <c r="C167" s="8" t="inlineStr">
        <is>
          <t>Salesperson Scorecard › QA Sales Manager › Qualified</t>
        </is>
      </c>
      <c r="D167" s="8" t="n">
        <v>1</v>
      </c>
      <c r="E167" s="8" t="n">
        <v>1</v>
      </c>
      <c r="F167" s="8" t="n">
        <v>1</v>
      </c>
      <c r="G167" s="8" t="inlineStr"/>
      <c r="H167" s="8" t="n">
        <v>1</v>
      </c>
      <c r="I167" s="8" t="n">
        <v>0</v>
      </c>
      <c r="J167" s="8" t="inlineStr">
        <is>
          <t>qualified</t>
        </is>
      </c>
      <c r="K167" s="8" t="inlineStr">
        <is>
          <t>Qualified date present</t>
        </is>
      </c>
      <c r="L167" s="8" t="n">
        <v>0</v>
      </c>
      <c r="M167" s="8" t="n">
        <v>0</v>
      </c>
      <c r="N167" s="15" t="inlineStr">
        <is>
          <t>Pass</t>
        </is>
      </c>
      <c r="O167" s="8" t="inlineStr"/>
    </row>
    <row r="168">
      <c r="A168" s="8" t="n">
        <v>167</v>
      </c>
      <c r="B168" s="8" t="inlineStr">
        <is>
          <t>Salesperson Scorecard</t>
        </is>
      </c>
      <c r="C168" s="8" t="inlineStr">
        <is>
          <t>Salesperson Scorecard › QA Sales Manager › Opportunity</t>
        </is>
      </c>
      <c r="D168" s="8" t="n">
        <v>1</v>
      </c>
      <c r="E168" s="8" t="n">
        <v>1</v>
      </c>
      <c r="F168" s="8" t="n">
        <v>1</v>
      </c>
      <c r="G168" s="8" t="inlineStr"/>
      <c r="H168" s="8" t="n">
        <v>1</v>
      </c>
      <c r="I168" s="8" t="n">
        <v>0</v>
      </c>
      <c r="J168" s="8" t="inlineStr">
        <is>
          <t>converted</t>
        </is>
      </c>
      <c r="K168" s="8" t="inlineStr">
        <is>
          <t>Status Converted / Opportunity Created</t>
        </is>
      </c>
      <c r="L168" s="8" t="n">
        <v>0</v>
      </c>
      <c r="M168" s="8" t="n">
        <v>0</v>
      </c>
      <c r="N168" s="15" t="inlineStr">
        <is>
          <t>Pass</t>
        </is>
      </c>
      <c r="O168" s="8" t="inlineStr"/>
    </row>
    <row r="169">
      <c r="A169" s="8" t="n">
        <v>168</v>
      </c>
      <c r="B169" s="8" t="inlineStr">
        <is>
          <t>Salesperson Scorecard</t>
        </is>
      </c>
      <c r="C169" s="8" t="inlineStr">
        <is>
          <t>Salesperson Scorecard › Mahalakshmi › Leads</t>
        </is>
      </c>
      <c r="D169" s="8" t="n">
        <v>4</v>
      </c>
      <c r="E169" s="8" t="n">
        <v>4</v>
      </c>
      <c r="F169" s="8" t="n">
        <v>4</v>
      </c>
      <c r="G169" s="8" t="inlineStr"/>
      <c r="H169" s="8" t="n">
        <v>4</v>
      </c>
      <c r="I169" s="8" t="n">
        <v>0</v>
      </c>
      <c r="J169" s="8" t="inlineStr">
        <is>
          <t>captured</t>
        </is>
      </c>
      <c r="K169" s="8" t="inlineStr">
        <is>
          <t>Captured date present</t>
        </is>
      </c>
      <c r="L169" s="8" t="n">
        <v>0</v>
      </c>
      <c r="M169" s="8" t="n">
        <v>0</v>
      </c>
      <c r="N169" s="15" t="inlineStr">
        <is>
          <t>Pass</t>
        </is>
      </c>
      <c r="O169" s="8" t="inlineStr"/>
    </row>
    <row r="170">
      <c r="A170" s="8" t="n">
        <v>169</v>
      </c>
      <c r="B170" s="8" t="inlineStr">
        <is>
          <t>Salesperson Scorecard</t>
        </is>
      </c>
      <c r="C170" s="8" t="inlineStr">
        <is>
          <t>Salesperson Scorecard › Mahalakshmi › Contacted</t>
        </is>
      </c>
      <c r="D170" s="8" t="n">
        <v>1</v>
      </c>
      <c r="E170" s="8" t="n">
        <v>1</v>
      </c>
      <c r="F170" s="8" t="n">
        <v>1</v>
      </c>
      <c r="G170" s="8" t="inlineStr"/>
      <c r="H170" s="8" t="n">
        <v>1</v>
      </c>
      <c r="I170" s="8" t="n">
        <v>0</v>
      </c>
      <c r="J170" s="8" t="inlineStr">
        <is>
          <t>contacted</t>
        </is>
      </c>
      <c r="K170" s="8" t="inlineStr">
        <is>
          <t>First Contact date present</t>
        </is>
      </c>
      <c r="L170" s="8" t="n">
        <v>0</v>
      </c>
      <c r="M170" s="8" t="n">
        <v>0</v>
      </c>
      <c r="N170" s="15" t="inlineStr">
        <is>
          <t>Pass</t>
        </is>
      </c>
      <c r="O170" s="8" t="inlineStr"/>
    </row>
    <row r="171">
      <c r="A171" s="8" t="n">
        <v>170</v>
      </c>
      <c r="B171" s="8" t="inlineStr">
        <is>
          <t>Salesperson Scorecard</t>
        </is>
      </c>
      <c r="C171" s="8" t="inlineStr">
        <is>
          <t>Salesperson Scorecard › Mahalakshmi › Open Now</t>
        </is>
      </c>
      <c r="D171" s="8" t="n">
        <v>4</v>
      </c>
      <c r="E171" s="8" t="n">
        <v>4</v>
      </c>
      <c r="F171" s="8" t="n">
        <v>4</v>
      </c>
      <c r="G171" s="8" t="inlineStr"/>
      <c r="H171" s="8" t="n">
        <v>4</v>
      </c>
      <c r="I171" s="8" t="n">
        <v>0</v>
      </c>
      <c r="J171" s="8" t="inlineStr">
        <is>
          <t>openNow</t>
        </is>
      </c>
      <c r="K171" s="8" t="inlineStr">
        <is>
          <t>Open status (not Converted/Lost/Disqualified/Duplicate)</t>
        </is>
      </c>
      <c r="L171" s="8" t="n">
        <v>0</v>
      </c>
      <c r="M171" s="8" t="n">
        <v>0</v>
      </c>
      <c r="N171" s="15" t="inlineStr">
        <is>
          <t>Pass</t>
        </is>
      </c>
      <c r="O171" s="8" t="inlineStr"/>
    </row>
    <row r="172">
      <c r="A172" s="8" t="n">
        <v>171</v>
      </c>
      <c r="B172" s="8" t="inlineStr">
        <is>
          <t>Salesperson Scorecard</t>
        </is>
      </c>
      <c r="C172" s="8" t="inlineStr">
        <is>
          <t>Salesperson Scorecard › Mahalakshmi › Never Contacted</t>
        </is>
      </c>
      <c r="D172" s="8" t="n">
        <v>3</v>
      </c>
      <c r="E172" s="8" t="n">
        <v>3</v>
      </c>
      <c r="F172" s="8" t="n">
        <v>3</v>
      </c>
      <c r="G172" s="8" t="inlineStr"/>
      <c r="H172" s="8" t="n">
        <v>3</v>
      </c>
      <c r="I172" s="8" t="n">
        <v>0</v>
      </c>
      <c r="J172" s="8" t="inlineStr">
        <is>
          <t>neverContactedNow</t>
        </is>
      </c>
      <c r="K172" s="8" t="inlineStr">
        <is>
          <t>Open status and no First Contact</t>
        </is>
      </c>
      <c r="L172" s="8" t="n">
        <v>0</v>
      </c>
      <c r="M172" s="8" t="n">
        <v>0</v>
      </c>
      <c r="N172" s="15" t="inlineStr">
        <is>
          <t>Pass</t>
        </is>
      </c>
      <c r="O172" s="8" t="inlineStr"/>
    </row>
    <row r="173">
      <c r="A173" s="8" t="n">
        <v>172</v>
      </c>
      <c r="B173" s="8" t="inlineStr">
        <is>
          <t>Salesperson Scorecard</t>
        </is>
      </c>
      <c r="C173" s="8" t="inlineStr">
        <is>
          <t>Salesperson Scorecard › Unassigned › Leads</t>
        </is>
      </c>
      <c r="D173" s="8" t="n">
        <v>2</v>
      </c>
      <c r="E173" s="8" t="n">
        <v>2</v>
      </c>
      <c r="F173" s="8" t="n">
        <v>2</v>
      </c>
      <c r="G173" s="8" t="inlineStr"/>
      <c r="H173" s="8" t="n">
        <v>2</v>
      </c>
      <c r="I173" s="8" t="n">
        <v>0</v>
      </c>
      <c r="J173" s="8" t="inlineStr">
        <is>
          <t>captured</t>
        </is>
      </c>
      <c r="K173" s="8" t="inlineStr">
        <is>
          <t>Captured date present</t>
        </is>
      </c>
      <c r="L173" s="8" t="n">
        <v>0</v>
      </c>
      <c r="M173" s="8" t="n">
        <v>0</v>
      </c>
      <c r="N173" s="15" t="inlineStr">
        <is>
          <t>Pass</t>
        </is>
      </c>
      <c r="O173" s="8" t="inlineStr"/>
    </row>
    <row r="174">
      <c r="A174" s="8" t="n">
        <v>173</v>
      </c>
      <c r="B174" s="8" t="inlineStr">
        <is>
          <t>Salesperson Scorecard</t>
        </is>
      </c>
      <c r="C174" s="8" t="inlineStr">
        <is>
          <t>Salesperson Scorecard › Unassigned › Open Now</t>
        </is>
      </c>
      <c r="D174" s="8" t="n">
        <v>2</v>
      </c>
      <c r="E174" s="8" t="n">
        <v>2</v>
      </c>
      <c r="F174" s="8" t="n">
        <v>2</v>
      </c>
      <c r="G174" s="8" t="inlineStr"/>
      <c r="H174" s="8" t="n">
        <v>2</v>
      </c>
      <c r="I174" s="8" t="n">
        <v>0</v>
      </c>
      <c r="J174" s="8" t="inlineStr">
        <is>
          <t>openNow</t>
        </is>
      </c>
      <c r="K174" s="8" t="inlineStr">
        <is>
          <t>Open status (not Converted/Lost/Disqualified/Duplicate)</t>
        </is>
      </c>
      <c r="L174" s="8" t="n">
        <v>0</v>
      </c>
      <c r="M174" s="8" t="n">
        <v>0</v>
      </c>
      <c r="N174" s="15" t="inlineStr">
        <is>
          <t>Pass</t>
        </is>
      </c>
      <c r="O174" s="8" t="inlineStr"/>
    </row>
    <row r="175">
      <c r="A175" s="8" t="n">
        <v>174</v>
      </c>
      <c r="B175" s="8" t="inlineStr">
        <is>
          <t>Salesperson Scorecard</t>
        </is>
      </c>
      <c r="C175" s="8" t="inlineStr">
        <is>
          <t>Salesperson Scorecard › Unassigned › Never Contacted</t>
        </is>
      </c>
      <c r="D175" s="8" t="n">
        <v>2</v>
      </c>
      <c r="E175" s="8" t="n">
        <v>2</v>
      </c>
      <c r="F175" s="8" t="n">
        <v>2</v>
      </c>
      <c r="G175" s="8" t="inlineStr"/>
      <c r="H175" s="8" t="n">
        <v>2</v>
      </c>
      <c r="I175" s="8" t="n">
        <v>0</v>
      </c>
      <c r="J175" s="8" t="inlineStr">
        <is>
          <t>neverContactedNow</t>
        </is>
      </c>
      <c r="K175" s="8" t="inlineStr">
        <is>
          <t>Open status and no First Contact</t>
        </is>
      </c>
      <c r="L175" s="8" t="n">
        <v>0</v>
      </c>
      <c r="M175" s="8" t="n">
        <v>0</v>
      </c>
      <c r="N175" s="15" t="inlineStr">
        <is>
          <t>Pass</t>
        </is>
      </c>
      <c r="O175" s="8" t="inlineStr"/>
    </row>
    <row r="176">
      <c r="A176" s="8" t="n">
        <v>175</v>
      </c>
      <c r="B176" s="8" t="inlineStr">
        <is>
          <t>Salesperson Scorecard</t>
        </is>
      </c>
      <c r="C176" s="8" t="inlineStr">
        <is>
          <t>Salesperson Scorecard › BabuRa › Leads</t>
        </is>
      </c>
      <c r="D176" s="8" t="n">
        <v>1</v>
      </c>
      <c r="E176" s="8" t="n">
        <v>1</v>
      </c>
      <c r="F176" s="8" t="n">
        <v>1</v>
      </c>
      <c r="G176" s="8" t="inlineStr"/>
      <c r="H176" s="8" t="n">
        <v>1</v>
      </c>
      <c r="I176" s="8" t="n">
        <v>0</v>
      </c>
      <c r="J176" s="8" t="inlineStr">
        <is>
          <t>captured</t>
        </is>
      </c>
      <c r="K176" s="8" t="inlineStr">
        <is>
          <t>Captured date present</t>
        </is>
      </c>
      <c r="L176" s="8" t="n">
        <v>0</v>
      </c>
      <c r="M176" s="8" t="n">
        <v>0</v>
      </c>
      <c r="N176" s="15" t="inlineStr">
        <is>
          <t>Pass</t>
        </is>
      </c>
      <c r="O176" s="8" t="inlineStr"/>
    </row>
    <row r="177">
      <c r="A177" s="8" t="n">
        <v>176</v>
      </c>
      <c r="B177" s="8" t="inlineStr">
        <is>
          <t>Salesperson Scorecard</t>
        </is>
      </c>
      <c r="C177" s="8" t="inlineStr">
        <is>
          <t>Salesperson Scorecard › QA Lead Assignee › Leads</t>
        </is>
      </c>
      <c r="D177" s="8" t="n">
        <v>1</v>
      </c>
      <c r="E177" s="8" t="n">
        <v>1</v>
      </c>
      <c r="F177" s="8" t="n">
        <v>1</v>
      </c>
      <c r="G177" s="8" t="inlineStr"/>
      <c r="H177" s="8" t="n">
        <v>1</v>
      </c>
      <c r="I177" s="8" t="n">
        <v>0</v>
      </c>
      <c r="J177" s="8" t="inlineStr">
        <is>
          <t>captured</t>
        </is>
      </c>
      <c r="K177" s="8" t="inlineStr">
        <is>
          <t>Captured date present</t>
        </is>
      </c>
      <c r="L177" s="8" t="n">
        <v>0</v>
      </c>
      <c r="M177" s="8" t="n">
        <v>0</v>
      </c>
      <c r="N177" s="15" t="inlineStr">
        <is>
          <t>Pass</t>
        </is>
      </c>
      <c r="O177" s="8" t="inlineStr"/>
    </row>
    <row r="178">
      <c r="A178" s="8" t="n">
        <v>177</v>
      </c>
      <c r="B178" s="8" t="inlineStr">
        <is>
          <t>Salesperson Scorecard</t>
        </is>
      </c>
      <c r="C178" s="8" t="inlineStr">
        <is>
          <t>Salesperson Scorecard › QA Lead Assignee › Open Now</t>
        </is>
      </c>
      <c r="D178" s="8" t="n">
        <v>1</v>
      </c>
      <c r="E178" s="8" t="n">
        <v>1</v>
      </c>
      <c r="F178" s="8" t="n">
        <v>1</v>
      </c>
      <c r="G178" s="8" t="inlineStr"/>
      <c r="H178" s="8" t="n">
        <v>1</v>
      </c>
      <c r="I178" s="8" t="n">
        <v>0</v>
      </c>
      <c r="J178" s="8" t="inlineStr">
        <is>
          <t>openNow</t>
        </is>
      </c>
      <c r="K178" s="8" t="inlineStr">
        <is>
          <t>Open status (not Converted/Lost/Disqualified/Duplicate)</t>
        </is>
      </c>
      <c r="L178" s="8" t="n">
        <v>0</v>
      </c>
      <c r="M178" s="8" t="n">
        <v>0</v>
      </c>
      <c r="N178" s="15" t="inlineStr">
        <is>
          <t>Pass</t>
        </is>
      </c>
      <c r="O178" s="8" t="inlineStr"/>
    </row>
    <row r="179">
      <c r="A179" s="8" t="n">
        <v>178</v>
      </c>
      <c r="B179" s="8" t="inlineStr">
        <is>
          <t>Salesperson Scorecard</t>
        </is>
      </c>
      <c r="C179" s="8" t="inlineStr">
        <is>
          <t>Salesperson Scorecard › QA Lead Assignee › Never Contacted</t>
        </is>
      </c>
      <c r="D179" s="8" t="n">
        <v>1</v>
      </c>
      <c r="E179" s="8" t="n">
        <v>1</v>
      </c>
      <c r="F179" s="8" t="n">
        <v>1</v>
      </c>
      <c r="G179" s="8" t="inlineStr"/>
      <c r="H179" s="8" t="n">
        <v>1</v>
      </c>
      <c r="I179" s="8" t="n">
        <v>0</v>
      </c>
      <c r="J179" s="8" t="inlineStr">
        <is>
          <t>neverContactedNow</t>
        </is>
      </c>
      <c r="K179" s="8" t="inlineStr">
        <is>
          <t>Open status and no First Contact</t>
        </is>
      </c>
      <c r="L179" s="8" t="n">
        <v>0</v>
      </c>
      <c r="M179" s="8" t="n">
        <v>0</v>
      </c>
      <c r="N179" s="15" t="inlineStr">
        <is>
          <t>Pass</t>
        </is>
      </c>
      <c r="O179" s="8" t="inlineStr"/>
    </row>
    <row r="180">
      <c r="A180" s="8" t="n">
        <v>179</v>
      </c>
      <c r="B180" s="8" t="inlineStr">
        <is>
          <t>Filters</t>
        </is>
      </c>
      <c r="C180" s="8" t="inlineStr">
        <is>
          <t>Lead Source filter = Digital Marketing › KPI "Leads Captured"</t>
        </is>
      </c>
      <c r="D180" s="8" t="n">
        <v>18</v>
      </c>
      <c r="E180" s="8" t="n">
        <v>18</v>
      </c>
      <c r="F180" s="8" t="n">
        <v>18</v>
      </c>
      <c r="G180" s="8" t="inlineStr"/>
      <c r="H180" s="8" t="n">
        <v>18</v>
      </c>
      <c r="I180" s="8" t="n">
        <v>0</v>
      </c>
      <c r="J180" s="8" t="inlineStr">
        <is>
          <t>captured</t>
        </is>
      </c>
      <c r="K180" s="8" t="inlineStr">
        <is>
          <t>Captured date present</t>
        </is>
      </c>
      <c r="L180" s="8" t="n">
        <v>0</v>
      </c>
      <c r="M180" s="8" t="n">
        <v>0</v>
      </c>
      <c r="N180" s="15" t="inlineStr">
        <is>
          <t>Pass</t>
        </is>
      </c>
      <c r="O180" s="8" t="inlineStr"/>
    </row>
    <row r="182" ht="45" customHeight="1">
      <c r="A182" s="16" t="inlineStr">
        <is>
          <t>How each link was checked: click the count → wait for the list to load → compare the clicked number, the "N leads" header, the rows listed (500 + "showing the first 500" above 500) and the rows in the list's Export; check no lead is listed twice; check every row fits the bucket (e.g. Lost list → status Lost/Disqualified; Never contacted → open and no First Contact) and, for grouped tables, that every row belongs to the clicked row (Source / Salesperson column). Read-only; QA data of 13-Oct-2026.</t>
        </is>
      </c>
    </row>
  </sheetData>
  <autoFilter ref="A1:O180"/>
  <mergeCells count="1">
    <mergeCell ref="A182:O18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52" customWidth="1" min="3" max="3"/>
    <col width="16" customWidth="1" min="4" max="4"/>
    <col width="52" customWidth="1" min="5" max="5"/>
    <col width="48" customWidth="1" min="6" max="6"/>
  </cols>
  <sheetData>
    <row r="1">
      <c r="A1" s="7" t="inlineStr">
        <is>
          <t>Tab</t>
        </is>
      </c>
      <c r="B1" s="7" t="inlineStr">
        <is>
          <t>Component</t>
        </is>
      </c>
      <c r="C1" s="7" t="inlineStr">
        <is>
          <t>Element</t>
        </is>
      </c>
      <c r="D1" s="7" t="inlineStr">
        <is>
          <t>Clickable</t>
        </is>
      </c>
      <c r="E1" s="7" t="inlineStr">
        <is>
          <t>What happens</t>
        </is>
      </c>
      <c r="F1" s="7" t="inlineStr">
        <is>
          <t>API called</t>
        </is>
      </c>
    </row>
    <row r="2">
      <c r="A2" s="8" t="inlineStr">
        <is>
          <t>All</t>
        </is>
      </c>
      <c r="B2" s="8" t="inlineStr">
        <is>
          <t>Header</t>
        </is>
      </c>
      <c r="C2" s="8" t="inlineStr">
        <is>
          <t>REPORTS &amp; ANALYTICS breadcrumb</t>
        </is>
      </c>
      <c r="D2" s="8" t="inlineStr">
        <is>
          <t>Yes</t>
        </is>
      </c>
      <c r="E2" s="8" t="inlineStr">
        <is>
          <t>Opens /reports-analytics</t>
        </is>
      </c>
      <c r="F2" s="8" t="inlineStr">
        <is>
          <t>—</t>
        </is>
      </c>
    </row>
    <row r="3">
      <c r="A3" s="8" t="inlineStr">
        <is>
          <t>All</t>
        </is>
      </c>
      <c r="B3" s="8" t="inlineStr">
        <is>
          <t>Header</t>
        </is>
      </c>
      <c r="C3" s="8" t="inlineStr">
        <is>
          <t>9 filter dropdowns (Period, Project, Lead Source, Capture Channel, Campaign, Broker, Salesperson, Prospect Type, Nationality)</t>
        </is>
      </c>
      <c r="D3" s="8" t="inlineStr">
        <is>
          <t>Yes</t>
        </is>
      </c>
      <c r="E3" s="8" t="inlineStr">
        <is>
          <t>Reloads the current tab for the selection; carried to every tab; reset on page reload</t>
        </is>
      </c>
      <c r="F3" s="8" t="inlineStr">
        <is>
          <t>…?period=…&amp;&lt;filter&gt;RefId=…</t>
        </is>
      </c>
    </row>
    <row r="4">
      <c r="A4" s="8" t="inlineStr">
        <is>
          <t>All</t>
        </is>
      </c>
      <c r="B4" s="8" t="inlineStr">
        <is>
          <t>Header</t>
        </is>
      </c>
      <c r="C4" s="8" t="inlineStr">
        <is>
          <t>Custom dates From / To</t>
        </is>
      </c>
      <c r="D4" s="8" t="inlineStr">
        <is>
          <t>Yes</t>
        </is>
      </c>
      <c r="E4" s="8" t="inlineStr">
        <is>
          <t>Reloads when both are valid; From &gt; To is ignored silently</t>
        </is>
      </c>
      <c r="F4" s="8" t="inlineStr">
        <is>
          <t>period=custom&amp;from=…&amp;to=…</t>
        </is>
      </c>
    </row>
    <row r="5">
      <c r="A5" s="8" t="inlineStr">
        <is>
          <t>All</t>
        </is>
      </c>
      <c r="B5" s="8" t="inlineStr">
        <is>
          <t>Header</t>
        </is>
      </c>
      <c r="C5" s="8" t="inlineStr">
        <is>
          <t>View: All / You and your team / Mine</t>
        </is>
      </c>
      <c r="D5" s="8" t="inlineStr">
        <is>
          <t>Yes</t>
        </is>
      </c>
      <c r="E5" s="8" t="inlineStr">
        <is>
          <t>Reloads with the view</t>
        </is>
      </c>
      <c r="F5" s="8" t="inlineStr">
        <is>
          <t>view=all | team | self</t>
        </is>
      </c>
    </row>
    <row r="6">
      <c r="A6" s="8" t="inlineStr">
        <is>
          <t>All</t>
        </is>
      </c>
      <c r="B6" s="8" t="inlineStr">
        <is>
          <t>Header</t>
        </is>
      </c>
      <c r="C6" s="8" t="inlineStr">
        <is>
          <t>Reset filters</t>
        </is>
      </c>
      <c r="D6" s="8" t="inlineStr">
        <is>
          <t>Yes (disabled until a change)</t>
        </is>
      </c>
      <c r="E6" s="8" t="inlineStr">
        <is>
          <t>Restores all dropdowns</t>
        </is>
      </c>
      <c r="F6" s="8" t="inlineStr">
        <is>
          <t>—</t>
        </is>
      </c>
    </row>
    <row r="7">
      <c r="A7" s="8" t="inlineStr">
        <is>
          <t>All</t>
        </is>
      </c>
      <c r="B7" s="8" t="inlineStr">
        <is>
          <t>Header</t>
        </is>
      </c>
      <c r="C7" s="8" t="inlineStr">
        <is>
          <t>How these numbers are calculated</t>
        </is>
      </c>
      <c r="D7" s="8" t="inlineStr">
        <is>
          <t>Yes</t>
        </is>
      </c>
      <c r="E7" s="8" t="inlineStr">
        <is>
          <t>Expands the definitions</t>
        </is>
      </c>
      <c r="F7" s="8" t="inlineStr">
        <is>
          <t>—</t>
        </is>
      </c>
    </row>
    <row r="8">
      <c r="A8" s="8" t="inlineStr">
        <is>
          <t>All</t>
        </is>
      </c>
      <c r="B8" s="8" t="inlineStr">
        <is>
          <t>Tab bar</t>
        </is>
      </c>
      <c r="C8" s="8" t="inlineStr">
        <is>
          <t>5 tabs</t>
        </is>
      </c>
      <c r="D8" s="8" t="inlineStr">
        <is>
          <t>Yes</t>
        </is>
      </c>
      <c r="E8" s="8" t="inlineStr">
        <is>
          <t>Switch tab; URL ?tab=source|aging|qualification|scorecard; closes any drill-down</t>
        </is>
      </c>
      <c r="F8" s="8" t="inlineStr">
        <is>
          <t>overview | breakdown | aging | qualification | scorecard</t>
        </is>
      </c>
    </row>
    <row r="9">
      <c r="A9" s="8" t="inlineStr">
        <is>
          <t>Overview &amp; Funnel</t>
        </is>
      </c>
      <c r="B9" s="8" t="inlineStr">
        <is>
          <t>KPI cards</t>
        </is>
      </c>
      <c r="C9" s="8" t="inlineStr">
        <is>
          <t>Leads Captured value</t>
        </is>
      </c>
      <c r="D9" s="8" t="inlineStr">
        <is>
          <t>Yes</t>
        </is>
      </c>
      <c r="E9" s="8" t="inlineStr">
        <is>
          <t>Drill-down "Leads captured" (first 500 shown) (verified 13-Oct-2026)</t>
        </is>
      </c>
      <c r="F9" s="8" t="inlineStr">
        <is>
          <t>drill?bucket=captured</t>
        </is>
      </c>
    </row>
    <row r="10">
      <c r="A10" s="8" t="inlineStr">
        <is>
          <t>Overview &amp; Funnel</t>
        </is>
      </c>
      <c r="B10" s="8" t="inlineStr">
        <is>
          <t>KPI cards</t>
        </is>
      </c>
      <c r="C10" s="8" t="inlineStr">
        <is>
          <t>SPA Signed value</t>
        </is>
      </c>
      <c r="D10" s="8" t="inlineStr">
        <is>
          <t>Yes</t>
        </is>
      </c>
      <c r="E10" s="8" t="inlineStr">
        <is>
          <t>Drill-down "Leads with a signed SPA" (verified 13-Oct-2026)</t>
        </is>
      </c>
      <c r="F10" s="8" t="inlineStr">
        <is>
          <t>drill?bucket=won</t>
        </is>
      </c>
    </row>
    <row r="11">
      <c r="A11" s="8" t="inlineStr">
        <is>
          <t>Overview &amp; Funnel</t>
        </is>
      </c>
      <c r="B11" s="8" t="inlineStr">
        <is>
          <t>KPI cards</t>
        </is>
      </c>
      <c r="C11" s="8" t="inlineStr">
        <is>
          <t>Open Leads Now value / idle / never contacted</t>
        </is>
      </c>
      <c r="D11" s="8" t="inlineStr">
        <is>
          <t>Yes (3 links)</t>
        </is>
      </c>
      <c r="E11" s="8" t="inlineStr">
        <is>
          <t>Drill-downs "Open leads (today)", "…idle over 30 days", "…never contacted" (as of today) (verified 13-Oct-2026)</t>
        </is>
      </c>
      <c r="F11" s="8" t="inlineStr">
        <is>
          <t>drill?bucket=openNow | idleNow | neverContactedNow</t>
        </is>
      </c>
    </row>
    <row r="12">
      <c r="A12" s="8" t="inlineStr">
        <is>
          <t>Overview &amp; Funnel</t>
        </is>
      </c>
      <c r="B12" s="8" t="inlineStr">
        <is>
          <t>KPI cards</t>
        </is>
      </c>
      <c r="C12" s="8" t="inlineStr">
        <is>
          <t>Contact Rate, Qualification Rate, Opportunity Conversion, Won Value, Avg Time to First Contact</t>
        </is>
      </c>
      <c r="D12" s="8" t="inlineStr">
        <is>
          <t>No</t>
        </is>
      </c>
      <c r="E12" s="8" t="inlineStr">
        <is>
          <t>—</t>
        </is>
      </c>
      <c r="F12" s="8" t="inlineStr">
        <is>
          <t>—</t>
        </is>
      </c>
    </row>
    <row r="13">
      <c r="A13" s="8" t="inlineStr">
        <is>
          <t>Overview &amp; Funnel</t>
        </is>
      </c>
      <c r="B13" s="8" t="inlineStr">
        <is>
          <t>Lead Funnel</t>
        </is>
      </c>
      <c r="C13" s="8" t="inlineStr">
        <is>
          <t>6 step counts</t>
        </is>
      </c>
      <c r="D13" s="8" t="inlineStr">
        <is>
          <t>Yes</t>
        </is>
      </c>
      <c r="E13" s="8" t="inlineStr">
        <is>
          <t>Drill-down per step (verified 13-Oct-2026)</t>
        </is>
      </c>
      <c r="F13" s="8" t="inlineStr">
        <is>
          <t>drill?bucket=captured | contacted | qualified | converted | reserved | won</t>
        </is>
      </c>
    </row>
    <row r="14">
      <c r="A14" s="8" t="inlineStr">
        <is>
          <t>Overview &amp; Funnel</t>
        </is>
      </c>
      <c r="B14" s="8" t="inlineStr">
        <is>
          <t>Data Completeness / 12-Month Trend</t>
        </is>
      </c>
      <c r="C14" s="8" t="inlineStr">
        <is>
          <t>Rows and bars</t>
        </is>
      </c>
      <c r="D14" s="8" t="inlineStr">
        <is>
          <t>No</t>
        </is>
      </c>
      <c r="E14" s="8" t="inlineStr">
        <is>
          <t>—</t>
        </is>
      </c>
      <c r="F14" s="8" t="inlineStr">
        <is>
          <t>—</t>
        </is>
      </c>
    </row>
    <row r="15">
      <c r="A15" s="8" t="inlineStr">
        <is>
          <t>Source &amp; Channel</t>
        </is>
      </c>
      <c r="B15" s="8" t="inlineStr">
        <is>
          <t>Sub-tabs</t>
        </is>
      </c>
      <c r="C15" s="8" t="inlineStr">
        <is>
          <t>Lead Source, Capture Channel, Campaign, Broker, Salesperson, Project, Nationality, Prospect Type</t>
        </is>
      </c>
      <c r="D15" s="8" t="inlineStr">
        <is>
          <t>Yes</t>
        </is>
      </c>
      <c r="E15" s="8" t="inlineStr">
        <is>
          <t>Regroups the table</t>
        </is>
      </c>
      <c r="F15" s="8" t="inlineStr">
        <is>
          <t>breakdown?dimension=source | channel | campaign | broker | owner | project | nationality | prospectType</t>
        </is>
      </c>
    </row>
    <row r="16">
      <c r="A16" s="8" t="inlineStr">
        <is>
          <t>Source &amp; Channel</t>
        </is>
      </c>
      <c r="B16" s="8" t="inlineStr">
        <is>
          <t>Table</t>
        </is>
      </c>
      <c r="C16" s="8" t="inlineStr">
        <is>
          <t>Leads, Contacted, Qualified, Opportunity, Reserved, SPA Signed, Lost counts (when above 0)</t>
        </is>
      </c>
      <c r="D16" s="8" t="inlineStr">
        <is>
          <t>Yes</t>
        </is>
      </c>
      <c r="E16" s="8" t="inlineStr">
        <is>
          <t>Drill-down "&lt;bucket&gt; · &lt;Dimension&gt;: &lt;value&gt;" (verified: clicked = header = rows = export)</t>
        </is>
      </c>
      <c r="F16" s="8" t="inlineStr">
        <is>
          <t>drill?bucket=…&amp;dimension=…&amp;key=&lt;id&gt;</t>
        </is>
      </c>
    </row>
    <row r="17">
      <c r="A17" s="8" t="inlineStr">
        <is>
          <t>Source &amp; Channel</t>
        </is>
      </c>
      <c r="B17" s="8" t="inlineStr">
        <is>
          <t>Table</t>
        </is>
      </c>
      <c r="C17" s="8" t="inlineStr">
        <is>
          <t>Zero counts, %, Avg First Contact, Won Value, Cost / Lead; column headers</t>
        </is>
      </c>
      <c r="D17" s="8" t="inlineStr">
        <is>
          <t>No</t>
        </is>
      </c>
      <c r="E17" s="8" t="inlineStr">
        <is>
          <t>—</t>
        </is>
      </c>
      <c r="F17" s="8" t="inlineStr">
        <is>
          <t>—</t>
        </is>
      </c>
    </row>
    <row r="18">
      <c r="A18" s="8" t="inlineStr">
        <is>
          <t>Source &amp; Channel</t>
        </is>
      </c>
      <c r="B18" s="8" t="inlineStr">
        <is>
          <t>Table</t>
        </is>
      </c>
      <c r="C18" s="8" t="inlineStr">
        <is>
          <t>Export</t>
        </is>
      </c>
      <c r="D18" s="8" t="inlineStr">
        <is>
          <t>Yes</t>
        </is>
      </c>
      <c r="E18" s="8" t="inlineStr">
        <is>
          <t>lead-report-breakdown-&lt;date&gt;.xlsx (sheet "By &lt;Dimension&gt;")</t>
        </is>
      </c>
      <c r="F18" s="8" t="inlineStr">
        <is>
          <t>export?section=breakdown&amp;dimension=…</t>
        </is>
      </c>
    </row>
    <row r="19">
      <c r="A19" s="8" t="inlineStr">
        <is>
          <t>Aging &amp; Follow-up</t>
        </is>
      </c>
      <c r="B19" s="8" t="inlineStr">
        <is>
          <t>KPI cards</t>
        </is>
      </c>
      <c r="C19" s="8" t="inlineStr">
        <is>
          <t>Open Leads, Idle Over 30 Days, Never Contacted</t>
        </is>
      </c>
      <c r="D19" s="8" t="inlineStr">
        <is>
          <t>Yes</t>
        </is>
      </c>
      <c r="E19" s="8" t="inlineStr">
        <is>
          <t>Drill-downs (as of today) (verified 13-Oct-2026)</t>
        </is>
      </c>
      <c r="F19" s="8" t="inlineStr">
        <is>
          <t>drill?bucket=openNow | idleNow | neverContactedNow</t>
        </is>
      </c>
    </row>
    <row r="20">
      <c r="A20" s="8" t="inlineStr">
        <is>
          <t>Aging &amp; Follow-up</t>
        </is>
      </c>
      <c r="B20" s="8" t="inlineStr">
        <is>
          <t>KPI cards</t>
        </is>
      </c>
      <c r="C20" s="8" t="inlineStr">
        <is>
          <t>Overdue Follow-ups (0)</t>
        </is>
      </c>
      <c r="D20" s="8" t="inlineStr">
        <is>
          <t>No</t>
        </is>
      </c>
      <c r="E20" s="8" t="inlineStr">
        <is>
          <t>—</t>
        </is>
      </c>
      <c r="F20" s="8" t="inlineStr">
        <is>
          <t>—</t>
        </is>
      </c>
    </row>
    <row r="21">
      <c r="A21" s="8" t="inlineStr">
        <is>
          <t>Aging &amp; Follow-up</t>
        </is>
      </c>
      <c r="B21" s="8" t="inlineStr">
        <is>
          <t>Idle Time / Lead Age</t>
        </is>
      </c>
      <c r="C21" s="8" t="inlineStr">
        <is>
          <t>Bucket rows</t>
        </is>
      </c>
      <c r="D21" s="8" t="inlineStr">
        <is>
          <t>No</t>
        </is>
      </c>
      <c r="E21" s="8" t="inlineStr">
        <is>
          <t>—</t>
        </is>
      </c>
      <c r="F21" s="8" t="inlineStr">
        <is>
          <t>—</t>
        </is>
      </c>
    </row>
    <row r="22">
      <c r="A22" s="8" t="inlineStr">
        <is>
          <t>Aging &amp; Follow-up</t>
        </is>
      </c>
      <c r="B22" s="8" t="inlineStr">
        <is>
          <t>Open Leads by Salesperson</t>
        </is>
      </c>
      <c r="C22" s="8" t="inlineStr">
        <is>
          <t>Open, Never Contacted counts</t>
        </is>
      </c>
      <c r="D22" s="8" t="inlineStr">
        <is>
          <t>Yes</t>
        </is>
      </c>
      <c r="E22" s="8" t="inlineStr">
        <is>
          <t>Drill-down "Open leads · &lt;name&gt;" / "Never contacted · &lt;name&gt;" (verified 13-Oct-2026)</t>
        </is>
      </c>
      <c r="F22" s="8" t="inlineStr">
        <is>
          <t>drill?bucket=…&amp;dimension=owner&amp;key=&lt;id&gt;</t>
        </is>
      </c>
    </row>
    <row r="23">
      <c r="A23" s="8" t="inlineStr">
        <is>
          <t>Aging &amp; Follow-up</t>
        </is>
      </c>
      <c r="B23" s="8" t="inlineStr">
        <is>
          <t>Open Leads by Salesperson</t>
        </is>
      </c>
      <c r="C23" s="8" t="inlineStr">
        <is>
          <t>Overdue and idle bucket counts</t>
        </is>
      </c>
      <c r="D23" s="8" t="inlineStr">
        <is>
          <t>No</t>
        </is>
      </c>
      <c r="E23" s="8" t="inlineStr">
        <is>
          <t>—</t>
        </is>
      </c>
      <c r="F23" s="8" t="inlineStr">
        <is>
          <t>—</t>
        </is>
      </c>
    </row>
    <row r="24">
      <c r="A24" s="8" t="inlineStr">
        <is>
          <t>Aging &amp; Follow-up</t>
        </is>
      </c>
      <c r="B24" s="8" t="inlineStr">
        <is>
          <t>Open Leads by Salesperson</t>
        </is>
      </c>
      <c r="C24" s="8" t="inlineStr">
        <is>
          <t>Export</t>
        </is>
      </c>
      <c r="D24" s="8" t="inlineStr">
        <is>
          <t>Yes</t>
        </is>
      </c>
      <c r="E24" s="8" t="inlineStr">
        <is>
          <t>lead-report-aging-&lt;date&gt;.xlsx (sheet "Aging by Salesperson")</t>
        </is>
      </c>
      <c r="F24" s="8" t="inlineStr">
        <is>
          <t>export?section=aging</t>
        </is>
      </c>
    </row>
    <row r="25">
      <c r="A25" s="8" t="inlineStr">
        <is>
          <t>Aging &amp; Follow-up</t>
        </is>
      </c>
      <c r="B25" s="8" t="inlineStr">
        <is>
          <t>Longest Idle Leads</t>
        </is>
      </c>
      <c r="C25" s="8" t="inlineStr">
        <is>
          <t>Lead number links (25)</t>
        </is>
      </c>
      <c r="D25" s="8" t="inlineStr">
        <is>
          <t>Yes</t>
        </is>
      </c>
      <c r="E25" s="8" t="inlineStr">
        <is>
          <t>Leads page with Lead Detail (/leads?selected=&lt;id&gt;)</t>
        </is>
      </c>
      <c r="F25" s="8" t="inlineStr">
        <is>
          <t>leads/&lt;id&gt;</t>
        </is>
      </c>
    </row>
    <row r="26">
      <c r="A26" s="8" t="inlineStr">
        <is>
          <t>Qualification &amp; Conversion</t>
        </is>
      </c>
      <c r="B26" s="8" t="inlineStr">
        <is>
          <t>Rating / Score / Where the Leads Are Now</t>
        </is>
      </c>
      <c r="C26" s="8" t="inlineStr">
        <is>
          <t>Counts</t>
        </is>
      </c>
      <c r="D26" s="8" t="inlineStr">
        <is>
          <t>No</t>
        </is>
      </c>
      <c r="E26" s="8" t="inlineStr">
        <is>
          <t>—</t>
        </is>
      </c>
      <c r="F26" s="8" t="inlineStr">
        <is>
          <t>—</t>
        </is>
      </c>
    </row>
    <row r="27">
      <c r="A27" s="8" t="inlineStr">
        <is>
          <t>Qualification &amp; Conversion</t>
        </is>
      </c>
      <c r="B27" s="8" t="inlineStr">
        <is>
          <t>Lost Reasons</t>
        </is>
      </c>
      <c r="C27" s="8" t="inlineStr">
        <is>
          <t>View lost leads</t>
        </is>
      </c>
      <c r="D27" s="8" t="inlineStr">
        <is>
          <t>Yes</t>
        </is>
      </c>
      <c r="E27" s="8" t="inlineStr">
        <is>
          <t>Drill-down "Lost or disqualified leads" (verified 13-Oct-2026)</t>
        </is>
      </c>
      <c r="F27" s="8" t="inlineStr">
        <is>
          <t>drill?bucket=lost</t>
        </is>
      </c>
    </row>
    <row r="28">
      <c r="A28" s="8" t="inlineStr">
        <is>
          <t>Salesperson Scorecard</t>
        </is>
      </c>
      <c r="B28" s="8" t="inlineStr">
        <is>
          <t>Table</t>
        </is>
      </c>
      <c r="C28" s="8" t="inlineStr">
        <is>
          <t>Leads, Contacted, Qualified, Opportunity, SPA Signed, Open Now, Idle &gt; 30 d, Never Contacted</t>
        </is>
      </c>
      <c r="D28" s="8" t="inlineStr">
        <is>
          <t>Yes</t>
        </is>
      </c>
      <c r="E28" s="8" t="inlineStr">
        <is>
          <t>Drill-down for that salesperson (verified 13-Oct-2026)</t>
        </is>
      </c>
      <c r="F28" s="8" t="inlineStr">
        <is>
          <t>drill?bucket=…&amp;dimension=owner&amp;key=&lt;id&gt;</t>
        </is>
      </c>
    </row>
    <row r="29">
      <c r="A29" s="8" t="inlineStr">
        <is>
          <t>Salesperson Scorecard</t>
        </is>
      </c>
      <c r="B29" s="8" t="inlineStr">
        <is>
          <t>Table</t>
        </is>
      </c>
      <c r="C29" s="8" t="inlineStr">
        <is>
          <t>Conv. %, Win %, Won Value, Avg First Contact, Overdue Tasks, Calls, Meetings, Tasks Done</t>
        </is>
      </c>
      <c r="D29" s="8" t="inlineStr">
        <is>
          <t>No</t>
        </is>
      </c>
      <c r="E29" s="8" t="inlineStr">
        <is>
          <t>—</t>
        </is>
      </c>
      <c r="F29" s="8" t="inlineStr">
        <is>
          <t>—</t>
        </is>
      </c>
    </row>
    <row r="30">
      <c r="A30" s="8" t="inlineStr">
        <is>
          <t>Salesperson Scorecard</t>
        </is>
      </c>
      <c r="B30" s="8" t="inlineStr">
        <is>
          <t>Table</t>
        </is>
      </c>
      <c r="C30" s="8" t="inlineStr">
        <is>
          <t>Export</t>
        </is>
      </c>
      <c r="D30" s="8" t="inlineStr">
        <is>
          <t>Yes</t>
        </is>
      </c>
      <c r="E30" s="8" t="inlineStr">
        <is>
          <t>lead-report-scorecard-&lt;date&gt;.xlsx</t>
        </is>
      </c>
      <c r="F30" s="8" t="inlineStr">
        <is>
          <t>export?section=scorecard</t>
        </is>
      </c>
    </row>
    <row r="31">
      <c r="A31" s="8" t="inlineStr">
        <is>
          <t>Drill-down list</t>
        </is>
      </c>
      <c r="B31" s="8" t="inlineStr">
        <is>
          <t>Panel</t>
        </is>
      </c>
      <c r="C31" s="8" t="inlineStr">
        <is>
          <t>Lead number links</t>
        </is>
      </c>
      <c r="D31" s="8" t="inlineStr">
        <is>
          <t>Yes</t>
        </is>
      </c>
      <c r="E31" s="8" t="inlineStr">
        <is>
          <t>Leads page with Lead Detail</t>
        </is>
      </c>
      <c r="F31" s="8" t="inlineStr">
        <is>
          <t>leads/&lt;id&gt;</t>
        </is>
      </c>
    </row>
    <row r="32">
      <c r="A32" s="8" t="inlineStr">
        <is>
          <t>Drill-down list</t>
        </is>
      </c>
      <c r="B32" s="8" t="inlineStr">
        <is>
          <t>Panel</t>
        </is>
      </c>
      <c r="C32" s="8" t="inlineStr">
        <is>
          <t>Export</t>
        </is>
      </c>
      <c r="D32" s="8" t="inlineStr">
        <is>
          <t>Yes</t>
        </is>
      </c>
      <c r="E32" s="8" t="inlineStr">
        <is>
          <t>lead-report-leads-&lt;date&gt;.xlsx (sheet "Leads", 14 columns)</t>
        </is>
      </c>
      <c r="F32" s="8" t="inlineStr">
        <is>
          <t>—</t>
        </is>
      </c>
    </row>
    <row r="33">
      <c r="A33" s="8" t="inlineStr">
        <is>
          <t>Drill-down list</t>
        </is>
      </c>
      <c r="B33" s="8" t="inlineStr">
        <is>
          <t>Panel</t>
        </is>
      </c>
      <c r="C33" s="8" t="inlineStr">
        <is>
          <t>Close</t>
        </is>
      </c>
      <c r="D33" s="8" t="inlineStr">
        <is>
          <t>Yes</t>
        </is>
      </c>
      <c r="E33" s="8" t="inlineStr">
        <is>
          <t>Closes the list (Esc does not)</t>
        </is>
      </c>
      <c r="F33" s="8"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60" customWidth="1" min="3" max="3"/>
    <col width="50" customWidth="1" min="4" max="4"/>
    <col width="12" customWidth="1" min="5" max="5"/>
    <col width="24" customWidth="1" min="6" max="6"/>
  </cols>
  <sheetData>
    <row r="1">
      <c r="A1" s="7" t="inlineStr">
        <is>
          <t>Obs ID</t>
        </is>
      </c>
      <c r="B1" s="7" t="inlineStr">
        <is>
          <t>Area</t>
        </is>
      </c>
      <c r="C1" s="7" t="inlineStr">
        <is>
          <t>Observation</t>
        </is>
      </c>
      <c r="D1" s="7" t="inlineStr">
        <is>
          <t>Expected / Question</t>
        </is>
      </c>
      <c r="E1" s="7" t="inlineStr">
        <is>
          <t>Suggested severity</t>
        </is>
      </c>
      <c r="F1" s="7" t="inlineStr">
        <is>
          <t>Related TC</t>
        </is>
      </c>
    </row>
    <row r="2">
      <c r="A2" s="8" t="inlineStr">
        <is>
          <t>OBS-01</t>
        </is>
      </c>
      <c r="B2" s="8" t="inlineStr">
        <is>
          <t>Filters</t>
        </is>
      </c>
      <c r="C2" s="8" t="inlineStr">
        <is>
          <t>The page opens on "Last 12 months".</t>
        </is>
      </c>
      <c r="D2" s="8" t="inlineStr">
        <is>
          <t>Should open on "This month" like the hub and dashboard (workbook scenario RA-013).</t>
        </is>
      </c>
      <c r="E2" s="8" t="inlineStr">
        <is>
          <t>Medium</t>
        </is>
      </c>
      <c r="F2" s="8" t="inlineStr">
        <is>
          <t>LR-017</t>
        </is>
      </c>
    </row>
    <row r="3">
      <c r="A3" s="8" t="inlineStr">
        <is>
          <t>OBS-02</t>
        </is>
      </c>
      <c r="B3" s="8" t="inlineStr">
        <is>
          <t>Custom dates</t>
        </is>
      </c>
      <c r="C3" s="8" t="inlineStr">
        <is>
          <t>From later than To: nothing happens — no message, no reload, old figures remain.</t>
        </is>
      </c>
      <c r="D3" s="8" t="inlineStr">
        <is>
          <t>Show a validation message (or swap / block the dates).</t>
        </is>
      </c>
      <c r="E3" s="8" t="inlineStr">
        <is>
          <t>Medium</t>
        </is>
      </c>
      <c r="F3" s="8" t="inlineStr">
        <is>
          <t>LR-021</t>
        </is>
      </c>
    </row>
    <row r="4">
      <c r="A4" s="8" t="inlineStr">
        <is>
          <t>OBS-03</t>
        </is>
      </c>
      <c r="B4" s="8" t="inlineStr">
        <is>
          <t>Drill-down</t>
        </is>
      </c>
      <c r="C4" s="8" t="inlineStr">
        <is>
          <t>Esc does not close the drill-down list; only the Close button does.</t>
        </is>
      </c>
      <c r="D4" s="8" t="inlineStr">
        <is>
          <t>Esc should close it (keyboard accessibility).</t>
        </is>
      </c>
      <c r="E4" s="8" t="inlineStr">
        <is>
          <t>Low</t>
        </is>
      </c>
      <c r="F4" s="8" t="inlineStr">
        <is>
          <t>LR-074</t>
        </is>
      </c>
    </row>
    <row r="5">
      <c r="A5" s="8" t="inlineStr">
        <is>
          <t>OBS-04</t>
        </is>
      </c>
      <c r="B5" s="8" t="inlineStr">
        <is>
          <t>Source &amp; Channel / Qualification</t>
        </is>
      </c>
      <c r="C5" s="8" t="inlineStr">
        <is>
          <t>Rating and Score tables (Qualification &amp; Conversion) have no drill-down links, unlike the other tables. Correction: Lost counts on Source &amp; Channel ARE clickable when above 0 — zero counts are plain text everywhere.</t>
        </is>
      </c>
      <c r="D5" s="8" t="inlineStr">
        <is>
          <t>Confirm whether the Rating / Score counts should open drill-downs for consistency.</t>
        </is>
      </c>
      <c r="E5" s="8" t="inlineStr">
        <is>
          <t>Low</t>
        </is>
      </c>
      <c r="F5" s="8" t="inlineStr">
        <is>
          <t>LR-125</t>
        </is>
      </c>
    </row>
    <row r="6">
      <c r="A6" s="8" t="inlineStr">
        <is>
          <t>OBS-05</t>
        </is>
      </c>
      <c r="B6" s="8" t="inlineStr">
        <is>
          <t>Filters</t>
        </is>
      </c>
      <c r="C6" s="8" t="inlineStr">
        <is>
          <t>Filters are not kept in the URL and reset on reload (the tab is kept).</t>
        </is>
      </c>
      <c r="D6" s="8" t="inlineStr">
        <is>
          <t>Confirm intended; a filtered view cannot be shared or bookmarked.</t>
        </is>
      </c>
      <c r="E6" s="8" t="inlineStr">
        <is>
          <t>Low</t>
        </is>
      </c>
      <c r="F6" s="8" t="inlineStr">
        <is>
          <t>LR-033</t>
        </is>
      </c>
    </row>
    <row r="7">
      <c r="A7" s="8" t="inlineStr">
        <is>
          <t>OBS-06</t>
        </is>
      </c>
      <c r="B7" s="8" t="inlineStr">
        <is>
          <t>Filters</t>
        </is>
      </c>
      <c r="C7" s="8" t="inlineStr">
        <is>
          <t>Salesperson dropdown lists "Mahalakshmi" twice (two users with the same name).</t>
        </is>
      </c>
      <c r="D7" s="8" t="inlineStr">
        <is>
          <t>Show something that tells them apart (e.g. email).</t>
        </is>
      </c>
      <c r="E7" s="8" t="inlineStr">
        <is>
          <t>Low</t>
        </is>
      </c>
      <c r="F7" s="8" t="inlineStr">
        <is>
          <t>LR-028</t>
        </is>
      </c>
    </row>
    <row r="8">
      <c r="A8" s="8" t="inlineStr">
        <is>
          <t>OBS-07</t>
        </is>
      </c>
      <c r="B8" s="8" t="inlineStr">
        <is>
          <t>Drill-down</t>
        </is>
      </c>
      <c r="C8" s="8" t="inlineStr">
        <is>
          <t>Lists over 500 leads show only the first 500 ("showing the first 500").</t>
        </is>
      </c>
      <c r="D8" s="8" t="inlineStr">
        <is>
          <t>Confirm the Export contains all leads (see test case).</t>
        </is>
      </c>
      <c r="E8" s="8" t="inlineStr">
        <is>
          <t>Info</t>
        </is>
      </c>
      <c r="F8" s="8" t="inlineStr"/>
    </row>
    <row r="9">
      <c r="A9" s="8" t="inlineStr">
        <is>
          <t>OBS-08</t>
        </is>
      </c>
      <c r="B9" s="8" t="inlineStr">
        <is>
          <t>Exports</t>
        </is>
      </c>
      <c r="C9" s="8" t="inlineStr">
        <is>
          <t>Export headers differ from the screen ("Qualification %" vs "Qual. %", "Avg Hours to Contact" vs "Avg First Contact", "Won Value (Base)"); breakdown export has no Total row; scorecard export has extra columns (Reserved, Lost, Overdue Follow-ups).</t>
        </is>
      </c>
      <c r="D9" s="8" t="inlineStr">
        <is>
          <t>Confirm intended; align names if users compare file and screen.</t>
        </is>
      </c>
      <c r="E9" s="8" t="inlineStr">
        <is>
          <t>Low</t>
        </is>
      </c>
      <c r="F9" s="8" t="inlineStr">
        <is>
          <t>LR-100, LR-138</t>
        </is>
      </c>
    </row>
    <row r="10">
      <c r="A10" s="8" t="inlineStr">
        <is>
          <t>OBS-09</t>
        </is>
      </c>
      <c r="B10" s="8" t="inlineStr">
        <is>
          <t>Qualification &amp; Conversion</t>
        </is>
      </c>
      <c r="C10" s="8" t="inlineStr">
        <is>
          <t>Avg First Contact mixes hours and days ("46.4 h", "85.9 d").</t>
        </is>
      </c>
      <c r="D10" s="8" t="inlineStr">
        <is>
          <t>Use consistent units or make the unit obvious.</t>
        </is>
      </c>
      <c r="E10" s="8" t="inlineStr">
        <is>
          <t>Low</t>
        </is>
      </c>
      <c r="F10" s="8" t="inlineStr">
        <is>
          <t>LR-121</t>
        </is>
      </c>
    </row>
    <row r="11">
      <c r="A11" s="8" t="inlineStr">
        <is>
          <t>OBS-10</t>
        </is>
      </c>
      <c r="B11" s="8" t="inlineStr">
        <is>
          <t>Data quality</t>
        </is>
      </c>
      <c r="C11" s="8" t="inlineStr">
        <is>
          <t>572 of 613 leads have no Lead Source ("Unspecified"); Data Completeness shows Lead source recorded 6.7%.</t>
        </is>
      </c>
      <c r="D11" s="8" t="inlineStr">
        <is>
          <t>Data issue in QA; help text says Lead Source is now mandatory on new leads.</t>
        </is>
      </c>
      <c r="E11" s="8" t="inlineStr">
        <is>
          <t>Info</t>
        </is>
      </c>
      <c r="F11" s="8" t="inlineStr">
        <is>
          <t>LR-091</t>
        </is>
      </c>
    </row>
    <row r="12">
      <c r="A12" s="8" t="inlineStr">
        <is>
          <t>OBS-11</t>
        </is>
      </c>
      <c r="B12" s="8" t="inlineStr">
        <is>
          <t>Tabs</t>
        </is>
      </c>
      <c r="C12" s="8" t="inlineStr">
        <is>
          <t>Browser Back after switching tabs returned to Overview &amp; Funnel instead of the previous tab.</t>
        </is>
      </c>
      <c r="D12" s="8" t="inlineStr">
        <is>
          <t>Confirm intended navigation history.</t>
        </is>
      </c>
      <c r="E12" s="8" t="inlineStr">
        <is>
          <t>Low</t>
        </is>
      </c>
      <c r="F12" s="8" t="inlineStr"/>
    </row>
    <row r="13">
      <c r="A13" s="8" t="inlineStr">
        <is>
          <t>OBS-12</t>
        </is>
      </c>
      <c r="B13" s="8" t="inlineStr">
        <is>
          <t>Tables</t>
        </is>
      </c>
      <c r="C13" s="8" t="inlineStr">
        <is>
          <t>Table column headers are not sortable on any tab.</t>
        </is>
      </c>
      <c r="D13" s="8" t="inlineStr">
        <is>
          <t>Confirm intended.</t>
        </is>
      </c>
      <c r="E13" s="8" t="inlineStr">
        <is>
          <t>Info</t>
        </is>
      </c>
      <c r="F13" s="8" t="inlineStr">
        <is>
          <t>LR-102</t>
        </is>
      </c>
    </row>
    <row r="14">
      <c r="A14" s="8" t="inlineStr">
        <is>
          <t>OBS-13</t>
        </is>
      </c>
      <c r="B14" s="8" t="inlineStr">
        <is>
          <t>Drill-down / data</t>
        </is>
      </c>
      <c r="C14" s="8" t="inlineStr">
        <is>
          <t>71 leads with status "Contacted" have no First Contact date: the Contacted list and export show "—" in First Contact. They are counted as contacted through the status change and are correctly not in "Never contacted".</t>
        </is>
      </c>
      <c r="D14" s="8" t="inlineStr">
        <is>
          <t>Record the status-change date as the first contact (or show it), so the list explains why each lead counts as contacted.</t>
        </is>
      </c>
      <c r="E14" s="8" t="inlineStr">
        <is>
          <t>Low</t>
        </is>
      </c>
      <c r="F14" s="8" t="inlineStr">
        <is>
          <t>LR-058, LR-078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2026-10-13T01:30:27Z</dcterms:created>
  <dcterms:modified xsi:type="dcterms:W3CDTF">2026-10-15T16:31:05Z</dcterms:modified>
</cp:coreProperties>
</file>