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ability Matrix" sheetId="2" state="visible" r:id="rId2"/>
    <sheet name="Test Case Mapping" sheetId="3" state="visible" r:id="rId3"/>
    <sheet name="Defects" sheetId="4" state="visible" r:id="rId4"/>
    <sheet name="How to read" sheetId="5" state="visible" r:id="rId5"/>
  </sheets>
  <definedNames>
    <definedName name="_xlnm._FilterDatabase" localSheetId="1" hidden="1">'Traceability Matrix'!$A$1:$P$99</definedName>
    <definedName name="_xlnm._FilterDatabase" localSheetId="2" hidden="1">'Test Case Mapping'!$A$1:$K$600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b val="1"/>
      <color rgb="001F4E78"/>
      <sz val="14"/>
    </font>
    <font>
      <name val="Arial"/>
    </font>
    <font>
      <name val="Arial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0" customWidth="1" min="9" max="9"/>
  </cols>
  <sheetData>
    <row r="1">
      <c r="A1" s="1" t="inlineStr">
        <is>
          <t>Reports &amp; Analytics — Requirements Traceability Matrix</t>
        </is>
      </c>
    </row>
    <row r="3">
      <c r="A3" s="2" t="inlineStr">
        <is>
          <t>Application</t>
        </is>
      </c>
      <c r="B3" s="3" t="inlineStr">
        <is>
          <t>ASQUARE CRM (QA) — https://qa-crm.asquareab.com</t>
        </is>
      </c>
    </row>
    <row r="4">
      <c r="A4" s="2" t="inlineStr">
        <is>
          <t>Scope</t>
        </is>
      </c>
      <c r="B4" s="3" t="inlineStr">
        <is>
          <t>Reports &amp; Analytics hub, Lead Reports, 9 report modules, Executive dashboard, cross-page consistency, Leads page (source data)</t>
        </is>
      </c>
    </row>
    <row r="5">
      <c r="A5" s="2" t="inlineStr">
        <is>
          <t>Latest run</t>
        </is>
      </c>
      <c r="B5" s="3" t="inlineStr">
        <is>
          <t>16-Oct-2026 06:53, full suite (599 tests, 4 workers) on QA</t>
        </is>
      </c>
    </row>
    <row r="6">
      <c r="A6" s="2" t="inlineStr">
        <is>
          <t>Automation</t>
        </is>
      </c>
      <c r="B6" s="3" t="inlineStr">
        <is>
          <t>Playwright + TypeScript (Page Object Model); results from the run above</t>
        </is>
      </c>
    </row>
    <row r="7">
      <c r="A7" s="2" t="inlineStr">
        <is>
          <t>Test case sources</t>
        </is>
      </c>
      <c r="B7" s="3" t="inlineStr">
        <is>
          <t>Lead_Reports_Test_Cases.xlsx, Reports_Analytics_Test_Scenarios.xlsx, page tests (one spec per hub card), core count / consistency suite</t>
        </is>
      </c>
    </row>
    <row r="9">
      <c r="A9" s="4" t="inlineStr">
        <is>
          <t>Overall</t>
        </is>
      </c>
    </row>
    <row r="10">
      <c r="A10" s="3" t="inlineStr">
        <is>
          <t>Requirements</t>
        </is>
      </c>
      <c r="B10" s="2">
        <f>COUNTA('Traceability Matrix'!$A$2:$A$99)</f>
        <v/>
      </c>
    </row>
    <row r="11">
      <c r="A11" s="3" t="inlineStr">
        <is>
          <t>Requirements fully passing</t>
        </is>
      </c>
      <c r="B11" s="2">
        <f>COUNTIF('Traceability Matrix'!$O$2:$O$99,"Pass")</f>
        <v/>
      </c>
    </row>
    <row r="12">
      <c r="A12" s="3" t="inlineStr">
        <is>
          <t>Requirements with failures</t>
        </is>
      </c>
      <c r="B12" s="2">
        <f>COUNTIF('Traceability Matrix'!$O$2:$O$99,"Fail")+COUNTIF('Traceability Matrix'!$O$2:$O$99,"Partly failing")</f>
        <v/>
      </c>
    </row>
    <row r="13">
      <c r="A13" s="3" t="inlineStr">
        <is>
          <t>Requirements skipped / not run</t>
        </is>
      </c>
      <c r="B13" s="2">
        <f>COUNTIF('Traceability Matrix'!$O$2:$O$99,"Skipped")+COUNTIF('Traceability Matrix'!$O$2:$O$99,"Not run")</f>
        <v/>
      </c>
    </row>
    <row r="14">
      <c r="A14" s="3" t="inlineStr">
        <is>
          <t>Requirement coverage (has test cases)</t>
        </is>
      </c>
      <c r="B14" s="5">
        <f>COUNTIF('Traceability Matrix'!$H$2:$H$99,"&gt;0")/B10</f>
        <v/>
      </c>
    </row>
    <row r="15">
      <c r="A15" s="3" t="inlineStr">
        <is>
          <t>Test cases</t>
        </is>
      </c>
      <c r="B15" s="2">
        <f>COUNTA('Test Case Mapping'!$A$2:$A$600)</f>
        <v/>
      </c>
    </row>
    <row r="16">
      <c r="A16" s="3" t="inlineStr">
        <is>
          <t>Automated test cases</t>
        </is>
      </c>
      <c r="B16" s="2">
        <f>COUNTIF('Test Case Mapping'!$G$2:$G$600,"Yes")</f>
        <v/>
      </c>
    </row>
    <row r="17">
      <c r="A17" s="3" t="inlineStr">
        <is>
          <t>Automation rate</t>
        </is>
      </c>
      <c r="B17" s="5">
        <f>B16/B15</f>
        <v/>
      </c>
    </row>
    <row r="18">
      <c r="A18" s="3" t="inlineStr">
        <is>
          <t>Passed</t>
        </is>
      </c>
      <c r="B18" s="2">
        <f>COUNTIF('Test Case Mapping'!$I$2:$I$600,"Pass")</f>
        <v/>
      </c>
    </row>
    <row r="19">
      <c r="A19" s="3" t="inlineStr">
        <is>
          <t>Failed</t>
        </is>
      </c>
      <c r="B19" s="2">
        <f>COUNTIF('Test Case Mapping'!$I$2:$I$600,"Fail")</f>
        <v/>
      </c>
    </row>
    <row r="20">
      <c r="A20" s="3" t="inlineStr">
        <is>
          <t>Skipped</t>
        </is>
      </c>
      <c r="B20" s="2">
        <f>COUNTIF('Test Case Mapping'!$I$2:$I$600,"Skipped")</f>
        <v/>
      </c>
    </row>
    <row r="21">
      <c r="A21" s="3" t="inlineStr">
        <is>
          <t>Pass rate (of executed)</t>
        </is>
      </c>
      <c r="B21" s="5">
        <f>IF(B18+B19=0,0,B18/(B18+B19))</f>
        <v/>
      </c>
    </row>
    <row r="22">
      <c r="A22" s="3" t="inlineStr">
        <is>
          <t>Known defects reproduced</t>
        </is>
      </c>
      <c r="B22" s="2">
        <f>COUNTIF(Defects!$G$2:$G$18,"Open (reproduced)")</f>
        <v/>
      </c>
    </row>
    <row r="24">
      <c r="A24" s="4" t="inlineStr">
        <is>
          <t>By page / area</t>
        </is>
      </c>
    </row>
    <row r="25">
      <c r="A25" s="6" t="inlineStr">
        <is>
          <t>Page / Module</t>
        </is>
      </c>
      <c r="B25" s="6" t="inlineStr">
        <is>
          <t>Requirements</t>
        </is>
      </c>
      <c r="C25" s="6" t="inlineStr">
        <is>
          <t>Test cases</t>
        </is>
      </c>
      <c r="D25" s="6" t="inlineStr">
        <is>
          <t>Automated</t>
        </is>
      </c>
      <c r="E25" s="6" t="inlineStr">
        <is>
          <t>Passed</t>
        </is>
      </c>
      <c r="F25" s="6" t="inlineStr">
        <is>
          <t>Failed</t>
        </is>
      </c>
      <c r="G25" s="6" t="inlineStr">
        <is>
          <t>Skipped</t>
        </is>
      </c>
      <c r="H25" s="6" t="inlineStr">
        <is>
          <t>Pass rate</t>
        </is>
      </c>
      <c r="I25" s="6" t="inlineStr">
        <is>
          <t>Defects</t>
        </is>
      </c>
    </row>
    <row r="26">
      <c r="A26" s="7" t="inlineStr">
        <is>
          <t>Reports &amp; Analytics hub</t>
        </is>
      </c>
      <c r="B26" s="8">
        <f>COUNTIF('Traceability Matrix'!$C$2:$C$99,A26)</f>
        <v/>
      </c>
      <c r="C26" s="8">
        <f>COUNTIF('Test Case Mapping'!$D$2:$D$600,A26)</f>
        <v/>
      </c>
      <c r="D26" s="8">
        <f>COUNTIFS('Test Case Mapping'!$D$2:$D$600,A26,'Test Case Mapping'!$G$2:$G$600,"Yes")</f>
        <v/>
      </c>
      <c r="E26" s="8">
        <f>COUNTIFS('Test Case Mapping'!$D$2:$D$600,A26,'Test Case Mapping'!$I$2:$I$600,"Pass")</f>
        <v/>
      </c>
      <c r="F26" s="8">
        <f>COUNTIFS('Test Case Mapping'!$D$2:$D$600,A26,'Test Case Mapping'!$I$2:$I$600,"Fail")</f>
        <v/>
      </c>
      <c r="G26" s="8">
        <f>COUNTIFS('Test Case Mapping'!$D$2:$D$600,A26,'Test Case Mapping'!$I$2:$I$600,"Skipped")</f>
        <v/>
      </c>
      <c r="H26" s="9">
        <f>IF(E26+F26=0,"—",E26/(E26+F26))</f>
        <v/>
      </c>
      <c r="I26" s="8" t="inlineStr">
        <is>
          <t>—</t>
        </is>
      </c>
    </row>
    <row r="27">
      <c r="A27" s="7" t="inlineStr">
        <is>
          <t>Lead Reports</t>
        </is>
      </c>
      <c r="B27" s="8">
        <f>COUNTIF('Traceability Matrix'!$C$2:$C$99,A27)</f>
        <v/>
      </c>
      <c r="C27" s="8">
        <f>COUNTIF('Test Case Mapping'!$D$2:$D$600,A27)</f>
        <v/>
      </c>
      <c r="D27" s="8">
        <f>COUNTIFS('Test Case Mapping'!$D$2:$D$600,A27,'Test Case Mapping'!$G$2:$G$600,"Yes")</f>
        <v/>
      </c>
      <c r="E27" s="8">
        <f>COUNTIFS('Test Case Mapping'!$D$2:$D$600,A27,'Test Case Mapping'!$I$2:$I$600,"Pass")</f>
        <v/>
      </c>
      <c r="F27" s="8">
        <f>COUNTIFS('Test Case Mapping'!$D$2:$D$600,A27,'Test Case Mapping'!$I$2:$I$600,"Fail")</f>
        <v/>
      </c>
      <c r="G27" s="8">
        <f>COUNTIFS('Test Case Mapping'!$D$2:$D$600,A27,'Test Case Mapping'!$I$2:$I$600,"Skipped")</f>
        <v/>
      </c>
      <c r="H27" s="9">
        <f>IF(E27+F27=0,"—",E27/(E27+F27))</f>
        <v/>
      </c>
      <c r="I27" s="8" t="inlineStr">
        <is>
          <t>DEF-01, DEF-12, DEF-13, DEF-14, DEF-15, DEF-16, DEF-17</t>
        </is>
      </c>
    </row>
    <row r="28">
      <c r="A28" s="7" t="inlineStr">
        <is>
          <t>Sales Reports</t>
        </is>
      </c>
      <c r="B28" s="8">
        <f>COUNTIF('Traceability Matrix'!$C$2:$C$99,A28)</f>
        <v/>
      </c>
      <c r="C28" s="8">
        <f>COUNTIF('Test Case Mapping'!$D$2:$D$600,A28)</f>
        <v/>
      </c>
      <c r="D28" s="8">
        <f>COUNTIFS('Test Case Mapping'!$D$2:$D$600,A28,'Test Case Mapping'!$G$2:$G$600,"Yes")</f>
        <v/>
      </c>
      <c r="E28" s="8">
        <f>COUNTIFS('Test Case Mapping'!$D$2:$D$600,A28,'Test Case Mapping'!$I$2:$I$600,"Pass")</f>
        <v/>
      </c>
      <c r="F28" s="8">
        <f>COUNTIFS('Test Case Mapping'!$D$2:$D$600,A28,'Test Case Mapping'!$I$2:$I$600,"Fail")</f>
        <v/>
      </c>
      <c r="G28" s="8">
        <f>COUNTIFS('Test Case Mapping'!$D$2:$D$600,A28,'Test Case Mapping'!$I$2:$I$600,"Skipped")</f>
        <v/>
      </c>
      <c r="H28" s="9">
        <f>IF(E28+F28=0,"—",E28/(E28+F28))</f>
        <v/>
      </c>
      <c r="I28" s="8" t="inlineStr">
        <is>
          <t>DEF-01</t>
        </is>
      </c>
    </row>
    <row r="29">
      <c r="A29" s="7" t="inlineStr">
        <is>
          <t>Inventory Reports</t>
        </is>
      </c>
      <c r="B29" s="8">
        <f>COUNTIF('Traceability Matrix'!$C$2:$C$99,A29)</f>
        <v/>
      </c>
      <c r="C29" s="8">
        <f>COUNTIF('Test Case Mapping'!$D$2:$D$600,A29)</f>
        <v/>
      </c>
      <c r="D29" s="8">
        <f>COUNTIFS('Test Case Mapping'!$D$2:$D$600,A29,'Test Case Mapping'!$G$2:$G$600,"Yes")</f>
        <v/>
      </c>
      <c r="E29" s="8">
        <f>COUNTIFS('Test Case Mapping'!$D$2:$D$600,A29,'Test Case Mapping'!$I$2:$I$600,"Pass")</f>
        <v/>
      </c>
      <c r="F29" s="8">
        <f>COUNTIFS('Test Case Mapping'!$D$2:$D$600,A29,'Test Case Mapping'!$I$2:$I$600,"Fail")</f>
        <v/>
      </c>
      <c r="G29" s="8">
        <f>COUNTIFS('Test Case Mapping'!$D$2:$D$600,A29,'Test Case Mapping'!$I$2:$I$600,"Skipped")</f>
        <v/>
      </c>
      <c r="H29" s="9">
        <f>IF(E29+F29=0,"—",E29/(E29+F29))</f>
        <v/>
      </c>
      <c r="I29" s="8" t="inlineStr">
        <is>
          <t>DEF-01</t>
        </is>
      </c>
    </row>
    <row r="30">
      <c r="A30" s="7" t="inlineStr">
        <is>
          <t>Customer Reports</t>
        </is>
      </c>
      <c r="B30" s="8">
        <f>COUNTIF('Traceability Matrix'!$C$2:$C$99,A30)</f>
        <v/>
      </c>
      <c r="C30" s="8">
        <f>COUNTIF('Test Case Mapping'!$D$2:$D$600,A30)</f>
        <v/>
      </c>
      <c r="D30" s="8">
        <f>COUNTIFS('Test Case Mapping'!$D$2:$D$600,A30,'Test Case Mapping'!$G$2:$G$600,"Yes")</f>
        <v/>
      </c>
      <c r="E30" s="8">
        <f>COUNTIFS('Test Case Mapping'!$D$2:$D$600,A30,'Test Case Mapping'!$I$2:$I$600,"Pass")</f>
        <v/>
      </c>
      <c r="F30" s="8">
        <f>COUNTIFS('Test Case Mapping'!$D$2:$D$600,A30,'Test Case Mapping'!$I$2:$I$600,"Fail")</f>
        <v/>
      </c>
      <c r="G30" s="8">
        <f>COUNTIFS('Test Case Mapping'!$D$2:$D$600,A30,'Test Case Mapping'!$I$2:$I$600,"Skipped")</f>
        <v/>
      </c>
      <c r="H30" s="9">
        <f>IF(E30+F30=0,"—",E30/(E30+F30))</f>
        <v/>
      </c>
      <c r="I30" s="8" t="inlineStr">
        <is>
          <t>DEF-01, DEF-08</t>
        </is>
      </c>
    </row>
    <row r="31">
      <c r="A31" s="7" t="inlineStr">
        <is>
          <t>Broker Reports</t>
        </is>
      </c>
      <c r="B31" s="8">
        <f>COUNTIF('Traceability Matrix'!$C$2:$C$99,A31)</f>
        <v/>
      </c>
      <c r="C31" s="8">
        <f>COUNTIF('Test Case Mapping'!$D$2:$D$600,A31)</f>
        <v/>
      </c>
      <c r="D31" s="8">
        <f>COUNTIFS('Test Case Mapping'!$D$2:$D$600,A31,'Test Case Mapping'!$G$2:$G$600,"Yes")</f>
        <v/>
      </c>
      <c r="E31" s="8">
        <f>COUNTIFS('Test Case Mapping'!$D$2:$D$600,A31,'Test Case Mapping'!$I$2:$I$600,"Pass")</f>
        <v/>
      </c>
      <c r="F31" s="8">
        <f>COUNTIFS('Test Case Mapping'!$D$2:$D$600,A31,'Test Case Mapping'!$I$2:$I$600,"Fail")</f>
        <v/>
      </c>
      <c r="G31" s="8">
        <f>COUNTIFS('Test Case Mapping'!$D$2:$D$600,A31,'Test Case Mapping'!$I$2:$I$600,"Skipped")</f>
        <v/>
      </c>
      <c r="H31" s="9">
        <f>IF(E31+F31=0,"—",E31/(E31+F31))</f>
        <v/>
      </c>
      <c r="I31" s="8" t="inlineStr">
        <is>
          <t>DEF-01</t>
        </is>
      </c>
    </row>
    <row r="32">
      <c r="A32" s="7" t="inlineStr">
        <is>
          <t>Marketing Reports</t>
        </is>
      </c>
      <c r="B32" s="8">
        <f>COUNTIF('Traceability Matrix'!$C$2:$C$99,A32)</f>
        <v/>
      </c>
      <c r="C32" s="8">
        <f>COUNTIF('Test Case Mapping'!$D$2:$D$600,A32)</f>
        <v/>
      </c>
      <c r="D32" s="8">
        <f>COUNTIFS('Test Case Mapping'!$D$2:$D$600,A32,'Test Case Mapping'!$G$2:$G$600,"Yes")</f>
        <v/>
      </c>
      <c r="E32" s="8">
        <f>COUNTIFS('Test Case Mapping'!$D$2:$D$600,A32,'Test Case Mapping'!$I$2:$I$600,"Pass")</f>
        <v/>
      </c>
      <c r="F32" s="8">
        <f>COUNTIFS('Test Case Mapping'!$D$2:$D$600,A32,'Test Case Mapping'!$I$2:$I$600,"Fail")</f>
        <v/>
      </c>
      <c r="G32" s="8">
        <f>COUNTIFS('Test Case Mapping'!$D$2:$D$600,A32,'Test Case Mapping'!$I$2:$I$600,"Skipped")</f>
        <v/>
      </c>
      <c r="H32" s="9">
        <f>IF(E32+F32=0,"—",E32/(E32+F32))</f>
        <v/>
      </c>
      <c r="I32" s="8" t="inlineStr">
        <is>
          <t>DEF-01</t>
        </is>
      </c>
    </row>
    <row r="33">
      <c r="A33" s="7" t="inlineStr">
        <is>
          <t>Reservation Reports</t>
        </is>
      </c>
      <c r="B33" s="8">
        <f>COUNTIF('Traceability Matrix'!$C$2:$C$99,A33)</f>
        <v/>
      </c>
      <c r="C33" s="8">
        <f>COUNTIF('Test Case Mapping'!$D$2:$D$600,A33)</f>
        <v/>
      </c>
      <c r="D33" s="8">
        <f>COUNTIFS('Test Case Mapping'!$D$2:$D$600,A33,'Test Case Mapping'!$G$2:$G$600,"Yes")</f>
        <v/>
      </c>
      <c r="E33" s="8">
        <f>COUNTIFS('Test Case Mapping'!$D$2:$D$600,A33,'Test Case Mapping'!$I$2:$I$600,"Pass")</f>
        <v/>
      </c>
      <c r="F33" s="8">
        <f>COUNTIFS('Test Case Mapping'!$D$2:$D$600,A33,'Test Case Mapping'!$I$2:$I$600,"Fail")</f>
        <v/>
      </c>
      <c r="G33" s="8">
        <f>COUNTIFS('Test Case Mapping'!$D$2:$D$600,A33,'Test Case Mapping'!$I$2:$I$600,"Skipped")</f>
        <v/>
      </c>
      <c r="H33" s="9">
        <f>IF(E33+F33=0,"—",E33/(E33+F33))</f>
        <v/>
      </c>
      <c r="I33" s="8" t="inlineStr">
        <is>
          <t>DEF-01</t>
        </is>
      </c>
    </row>
    <row r="34">
      <c r="A34" s="7" t="inlineStr">
        <is>
          <t>SPA Reports</t>
        </is>
      </c>
      <c r="B34" s="8">
        <f>COUNTIF('Traceability Matrix'!$C$2:$C$99,A34)</f>
        <v/>
      </c>
      <c r="C34" s="8">
        <f>COUNTIF('Test Case Mapping'!$D$2:$D$600,A34)</f>
        <v/>
      </c>
      <c r="D34" s="8">
        <f>COUNTIFS('Test Case Mapping'!$D$2:$D$600,A34,'Test Case Mapping'!$G$2:$G$600,"Yes")</f>
        <v/>
      </c>
      <c r="E34" s="8">
        <f>COUNTIFS('Test Case Mapping'!$D$2:$D$600,A34,'Test Case Mapping'!$I$2:$I$600,"Pass")</f>
        <v/>
      </c>
      <c r="F34" s="8">
        <f>COUNTIFS('Test Case Mapping'!$D$2:$D$600,A34,'Test Case Mapping'!$I$2:$I$600,"Fail")</f>
        <v/>
      </c>
      <c r="G34" s="8">
        <f>COUNTIFS('Test Case Mapping'!$D$2:$D$600,A34,'Test Case Mapping'!$I$2:$I$600,"Skipped")</f>
        <v/>
      </c>
      <c r="H34" s="9">
        <f>IF(E34+F34=0,"—",E34/(E34+F34))</f>
        <v/>
      </c>
      <c r="I34" s="8" t="inlineStr">
        <is>
          <t>DEF-01</t>
        </is>
      </c>
    </row>
    <row r="35">
      <c r="A35" s="7" t="inlineStr">
        <is>
          <t>Collection Reports</t>
        </is>
      </c>
      <c r="B35" s="8">
        <f>COUNTIF('Traceability Matrix'!$C$2:$C$99,A35)</f>
        <v/>
      </c>
      <c r="C35" s="8">
        <f>COUNTIF('Test Case Mapping'!$D$2:$D$600,A35)</f>
        <v/>
      </c>
      <c r="D35" s="8">
        <f>COUNTIFS('Test Case Mapping'!$D$2:$D$600,A35,'Test Case Mapping'!$G$2:$G$600,"Yes")</f>
        <v/>
      </c>
      <c r="E35" s="8">
        <f>COUNTIFS('Test Case Mapping'!$D$2:$D$600,A35,'Test Case Mapping'!$I$2:$I$600,"Pass")</f>
        <v/>
      </c>
      <c r="F35" s="8">
        <f>COUNTIFS('Test Case Mapping'!$D$2:$D$600,A35,'Test Case Mapping'!$I$2:$I$600,"Fail")</f>
        <v/>
      </c>
      <c r="G35" s="8">
        <f>COUNTIFS('Test Case Mapping'!$D$2:$D$600,A35,'Test Case Mapping'!$I$2:$I$600,"Skipped")</f>
        <v/>
      </c>
      <c r="H35" s="9">
        <f>IF(E35+F35=0,"—",E35/(E35+F35))</f>
        <v/>
      </c>
      <c r="I35" s="8" t="inlineStr">
        <is>
          <t>DEF-01, DEF-07</t>
        </is>
      </c>
    </row>
    <row r="36">
      <c r="A36" s="7" t="inlineStr">
        <is>
          <t>Exception Reports</t>
        </is>
      </c>
      <c r="B36" s="8">
        <f>COUNTIF('Traceability Matrix'!$C$2:$C$99,A36)</f>
        <v/>
      </c>
      <c r="C36" s="8">
        <f>COUNTIF('Test Case Mapping'!$D$2:$D$600,A36)</f>
        <v/>
      </c>
      <c r="D36" s="8">
        <f>COUNTIFS('Test Case Mapping'!$D$2:$D$600,A36,'Test Case Mapping'!$G$2:$G$600,"Yes")</f>
        <v/>
      </c>
      <c r="E36" s="8">
        <f>COUNTIFS('Test Case Mapping'!$D$2:$D$600,A36,'Test Case Mapping'!$I$2:$I$600,"Pass")</f>
        <v/>
      </c>
      <c r="F36" s="8">
        <f>COUNTIFS('Test Case Mapping'!$D$2:$D$600,A36,'Test Case Mapping'!$I$2:$I$600,"Fail")</f>
        <v/>
      </c>
      <c r="G36" s="8">
        <f>COUNTIFS('Test Case Mapping'!$D$2:$D$600,A36,'Test Case Mapping'!$I$2:$I$600,"Skipped")</f>
        <v/>
      </c>
      <c r="H36" s="9">
        <f>IF(E36+F36=0,"—",E36/(E36+F36))</f>
        <v/>
      </c>
      <c r="I36" s="8" t="inlineStr">
        <is>
          <t>DEF-01</t>
        </is>
      </c>
    </row>
    <row r="37">
      <c r="A37" s="7" t="inlineStr">
        <is>
          <t>Executive Reports (dashboard)</t>
        </is>
      </c>
      <c r="B37" s="8">
        <f>COUNTIF('Traceability Matrix'!$C$2:$C$99,A37)</f>
        <v/>
      </c>
      <c r="C37" s="8">
        <f>COUNTIF('Test Case Mapping'!$D$2:$D$600,A37)</f>
        <v/>
      </c>
      <c r="D37" s="8">
        <f>COUNTIFS('Test Case Mapping'!$D$2:$D$600,A37,'Test Case Mapping'!$G$2:$G$600,"Yes")</f>
        <v/>
      </c>
      <c r="E37" s="8">
        <f>COUNTIFS('Test Case Mapping'!$D$2:$D$600,A37,'Test Case Mapping'!$I$2:$I$600,"Pass")</f>
        <v/>
      </c>
      <c r="F37" s="8">
        <f>COUNTIFS('Test Case Mapping'!$D$2:$D$600,A37,'Test Case Mapping'!$I$2:$I$600,"Fail")</f>
        <v/>
      </c>
      <c r="G37" s="8">
        <f>COUNTIFS('Test Case Mapping'!$D$2:$D$600,A37,'Test Case Mapping'!$I$2:$I$600,"Skipped")</f>
        <v/>
      </c>
      <c r="H37" s="9">
        <f>IF(E37+F37=0,"—",E37/(E37+F37))</f>
        <v/>
      </c>
      <c r="I37" s="8" t="inlineStr">
        <is>
          <t>—</t>
        </is>
      </c>
    </row>
    <row r="38">
      <c r="A38" s="7" t="inlineStr">
        <is>
          <t>Hub, dashboard and report modules</t>
        </is>
      </c>
      <c r="B38" s="8">
        <f>COUNTIF('Traceability Matrix'!$C$2:$C$99,A38)</f>
        <v/>
      </c>
      <c r="C38" s="8">
        <f>COUNTIF('Test Case Mapping'!$D$2:$D$600,A38)</f>
        <v/>
      </c>
      <c r="D38" s="8">
        <f>COUNTIFS('Test Case Mapping'!$D$2:$D$600,A38,'Test Case Mapping'!$G$2:$G$600,"Yes")</f>
        <v/>
      </c>
      <c r="E38" s="8">
        <f>COUNTIFS('Test Case Mapping'!$D$2:$D$600,A38,'Test Case Mapping'!$I$2:$I$600,"Pass")</f>
        <v/>
      </c>
      <c r="F38" s="8">
        <f>COUNTIFS('Test Case Mapping'!$D$2:$D$600,A38,'Test Case Mapping'!$I$2:$I$600,"Fail")</f>
        <v/>
      </c>
      <c r="G38" s="8">
        <f>COUNTIFS('Test Case Mapping'!$D$2:$D$600,A38,'Test Case Mapping'!$I$2:$I$600,"Skipped")</f>
        <v/>
      </c>
      <c r="H38" s="9">
        <f>IF(E38+F38=0,"—",E38/(E38+F38))</f>
        <v/>
      </c>
      <c r="I38" s="8" t="inlineStr">
        <is>
          <t>DEF-02, DEF-03, DEF-05, DEF-06</t>
        </is>
      </c>
    </row>
    <row r="39">
      <c r="A39" s="7" t="inlineStr">
        <is>
          <t>All report pages</t>
        </is>
      </c>
      <c r="B39" s="8">
        <f>COUNTIF('Traceability Matrix'!$C$2:$C$99,A39)</f>
        <v/>
      </c>
      <c r="C39" s="8">
        <f>COUNTIF('Test Case Mapping'!$D$2:$D$600,A39)</f>
        <v/>
      </c>
      <c r="D39" s="8">
        <f>COUNTIFS('Test Case Mapping'!$D$2:$D$600,A39,'Test Case Mapping'!$G$2:$G$600,"Yes")</f>
        <v/>
      </c>
      <c r="E39" s="8">
        <f>COUNTIFS('Test Case Mapping'!$D$2:$D$600,A39,'Test Case Mapping'!$I$2:$I$600,"Pass")</f>
        <v/>
      </c>
      <c r="F39" s="8">
        <f>COUNTIFS('Test Case Mapping'!$D$2:$D$600,A39,'Test Case Mapping'!$I$2:$I$600,"Fail")</f>
        <v/>
      </c>
      <c r="G39" s="8">
        <f>COUNTIFS('Test Case Mapping'!$D$2:$D$600,A39,'Test Case Mapping'!$I$2:$I$600,"Skipped")</f>
        <v/>
      </c>
      <c r="H39" s="9">
        <f>IF(E39+F39=0,"—",E39/(E39+F39))</f>
        <v/>
      </c>
      <c r="I39" s="8" t="inlineStr">
        <is>
          <t>—</t>
        </is>
      </c>
    </row>
    <row r="40">
      <c r="A40" s="7" t="inlineStr">
        <is>
          <t>Leads</t>
        </is>
      </c>
      <c r="B40" s="8">
        <f>COUNTIF('Traceability Matrix'!$C$2:$C$99,A40)</f>
        <v/>
      </c>
      <c r="C40" s="8">
        <f>COUNTIF('Test Case Mapping'!$D$2:$D$600,A40)</f>
        <v/>
      </c>
      <c r="D40" s="8">
        <f>COUNTIFS('Test Case Mapping'!$D$2:$D$600,A40,'Test Case Mapping'!$G$2:$G$600,"Yes")</f>
        <v/>
      </c>
      <c r="E40" s="8">
        <f>COUNTIFS('Test Case Mapping'!$D$2:$D$600,A40,'Test Case Mapping'!$I$2:$I$600,"Pass")</f>
        <v/>
      </c>
      <c r="F40" s="8">
        <f>COUNTIFS('Test Case Mapping'!$D$2:$D$600,A40,'Test Case Mapping'!$I$2:$I$600,"Fail")</f>
        <v/>
      </c>
      <c r="G40" s="8">
        <f>COUNTIFS('Test Case Mapping'!$D$2:$D$600,A40,'Test Case Mapping'!$I$2:$I$600,"Skipped")</f>
        <v/>
      </c>
      <c r="H40" s="9">
        <f>IF(E40+F40=0,"—",E40/(E40+F40))</f>
        <v/>
      </c>
      <c r="I40" s="8" t="inlineStr">
        <is>
          <t>—</t>
        </is>
      </c>
    </row>
    <row r="41">
      <c r="A41" s="7" t="inlineStr">
        <is>
          <t>Business scenarios (all pages)</t>
        </is>
      </c>
      <c r="B41" s="8">
        <f>COUNTIF('Traceability Matrix'!$C$2:$C$99,A41)</f>
        <v/>
      </c>
      <c r="C41" s="8">
        <f>COUNTIF('Test Case Mapping'!$D$2:$D$600,A41)</f>
        <v/>
      </c>
      <c r="D41" s="8">
        <f>COUNTIFS('Test Case Mapping'!$D$2:$D$600,A41,'Test Case Mapping'!$G$2:$G$600,"Yes")</f>
        <v/>
      </c>
      <c r="E41" s="8">
        <f>COUNTIFS('Test Case Mapping'!$D$2:$D$600,A41,'Test Case Mapping'!$I$2:$I$600,"Pass")</f>
        <v/>
      </c>
      <c r="F41" s="8">
        <f>COUNTIFS('Test Case Mapping'!$D$2:$D$600,A41,'Test Case Mapping'!$I$2:$I$600,"Fail")</f>
        <v/>
      </c>
      <c r="G41" s="8">
        <f>COUNTIFS('Test Case Mapping'!$D$2:$D$600,A41,'Test Case Mapping'!$I$2:$I$600,"Skipped")</f>
        <v/>
      </c>
      <c r="H41" s="9">
        <f>IF(E41+F41=0,"—",E41/(E41+F41))</f>
        <v/>
      </c>
      <c r="I41" s="8" t="inlineStr">
        <is>
          <t>DEF-01, DEF-02, DEF-03, DEF-06, DEF-07, DEF-08, DEF-10, DEF-11</t>
        </is>
      </c>
    </row>
    <row r="42">
      <c r="A42" s="2" t="inlineStr">
        <is>
          <t>Total</t>
        </is>
      </c>
      <c r="B42" s="10">
        <f>SUM(B26:B41)</f>
        <v/>
      </c>
      <c r="C42" s="10">
        <f>SUM(C26:C41)</f>
        <v/>
      </c>
      <c r="D42" s="10">
        <f>SUM(D26:D41)</f>
        <v/>
      </c>
      <c r="E42" s="10">
        <f>SUM(E26:E41)</f>
        <v/>
      </c>
      <c r="F42" s="10">
        <f>SUM(F26:F41)</f>
        <v/>
      </c>
      <c r="G42" s="10">
        <f>SUM(G26:G41)</f>
        <v/>
      </c>
    </row>
  </sheetData>
  <conditionalFormatting sqref="F26:F41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52" customWidth="1" min="4" max="4"/>
    <col width="10" customWidth="1" min="5" max="5"/>
    <col width="26" customWidth="1" min="6" max="6"/>
    <col width="46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6" customWidth="1" min="14" max="14"/>
    <col width="16" customWidth="1" min="15" max="15"/>
    <col width="18" customWidth="1" min="16" max="16"/>
  </cols>
  <sheetData>
    <row r="1">
      <c r="A1" s="6" t="inlineStr">
        <is>
          <t>Requirement ID</t>
        </is>
      </c>
      <c r="B1" s="6" t="inlineStr">
        <is>
          <t>Area</t>
        </is>
      </c>
      <c r="C1" s="6" t="inlineStr">
        <is>
          <t>Page / Module</t>
        </is>
      </c>
      <c r="D1" s="6" t="inlineStr">
        <is>
          <t>Requirement</t>
        </is>
      </c>
      <c r="E1" s="6" t="inlineStr">
        <is>
          <t>Priority</t>
        </is>
      </c>
      <c r="F1" s="6" t="inlineStr">
        <is>
          <t>Test case sources</t>
        </is>
      </c>
      <c r="G1" s="6" t="inlineStr">
        <is>
          <t>Test case IDs</t>
        </is>
      </c>
      <c r="H1" s="6" t="inlineStr">
        <is>
          <t>Test cases</t>
        </is>
      </c>
      <c r="I1" s="6" t="inlineStr">
        <is>
          <t>Automated</t>
        </is>
      </c>
      <c r="J1" s="6" t="inlineStr">
        <is>
          <t>Passed</t>
        </is>
      </c>
      <c r="K1" s="6" t="inlineStr">
        <is>
          <t>Failed</t>
        </is>
      </c>
      <c r="L1" s="6" t="inlineStr">
        <is>
          <t>Skipped</t>
        </is>
      </c>
      <c r="M1" s="6" t="inlineStr">
        <is>
          <t>Not run</t>
        </is>
      </c>
      <c r="N1" s="6" t="inlineStr">
        <is>
          <t>Coverage</t>
        </is>
      </c>
      <c r="O1" s="6" t="inlineStr">
        <is>
          <t>Execution status</t>
        </is>
      </c>
      <c r="P1" s="6" t="inlineStr">
        <is>
          <t>Linked defects</t>
        </is>
      </c>
    </row>
    <row r="2">
      <c r="A2" s="8" t="inlineStr">
        <is>
          <t>REQ-HUB-01</t>
        </is>
      </c>
      <c r="B2" s="7" t="inlineStr">
        <is>
          <t>Reports &amp; Analytics hub</t>
        </is>
      </c>
      <c r="C2" s="7" t="inlineStr">
        <is>
          <t>Reports &amp; Analytics hub</t>
        </is>
      </c>
      <c r="D2" s="7" t="inlineStr">
        <is>
          <t>Executive Snapshot shows the 8 KPI values, valid, equal to the API and stable on reload</t>
        </is>
      </c>
      <c r="E2" s="8" t="inlineStr">
        <is>
          <t>High</t>
        </is>
      </c>
      <c r="F2" s="7" t="inlineStr">
        <is>
          <t>Core suite, Page tests (POM)</t>
        </is>
      </c>
      <c r="G2" s="7" t="inlineStr">
        <is>
          <t>HUB-01…HUB-03, RA-01…RA-03</t>
        </is>
      </c>
      <c r="H2" s="8">
        <f>COUNTIF('Test Case Mapping'!$E$2:$E$600,A2)</f>
        <v/>
      </c>
      <c r="I2" s="8">
        <f>COUNTIFS('Test Case Mapping'!$E$2:$E$600,A2,'Test Case Mapping'!$G$2:$G$600,"Yes")</f>
        <v/>
      </c>
      <c r="J2" s="8">
        <f>COUNTIFS('Test Case Mapping'!$E$2:$E$600,A2,'Test Case Mapping'!$I$2:$I$600,"Pass")</f>
        <v/>
      </c>
      <c r="K2" s="8">
        <f>COUNTIFS('Test Case Mapping'!$E$2:$E$600,A2,'Test Case Mapping'!$I$2:$I$600,"Fail")</f>
        <v/>
      </c>
      <c r="L2" s="8">
        <f>COUNTIFS('Test Case Mapping'!$E$2:$E$600,A2,'Test Case Mapping'!$I$2:$I$600,"Skipped")</f>
        <v/>
      </c>
      <c r="M2" s="8">
        <f>COUNTIFS('Test Case Mapping'!$E$2:$E$600,A2,'Test Case Mapping'!$I$2:$I$600,"Not run")</f>
        <v/>
      </c>
      <c r="N2" s="8">
        <f>IF(H2=0,"Not covered",IF(I2=H2,"Automated",IF(I2=0,"Manual only","Partly manual")))</f>
        <v/>
      </c>
      <c r="O2" s="8">
        <f>IF(H2=0,"Not run",IF(K2&gt;0,IF(J2&gt;0,"Partly failing","Fail"),IF(J2&gt;0,"Pass",IF(M2&gt;0,"Not run","Skipped"))))</f>
        <v/>
      </c>
      <c r="P2" s="8" t="inlineStr">
        <is>
          <t>—</t>
        </is>
      </c>
    </row>
    <row r="3">
      <c r="A3" s="8" t="inlineStr">
        <is>
          <t>REQ-HUB-02</t>
        </is>
      </c>
      <c r="B3" s="7" t="inlineStr">
        <is>
          <t>Reports &amp; Analytics hub</t>
        </is>
      </c>
      <c r="C3" s="7" t="inlineStr">
        <is>
          <t>Reports &amp; Analytics hub</t>
        </is>
      </c>
      <c r="D3" s="7" t="inlineStr">
        <is>
          <t>Module menu lists the 11 report cards with the right status, and each card opens its report</t>
        </is>
      </c>
      <c r="E3" s="8" t="inlineStr">
        <is>
          <t>High</t>
        </is>
      </c>
      <c r="F3" s="7" t="inlineStr">
        <is>
          <t>Core suite, Page tests (POM)</t>
        </is>
      </c>
      <c r="G3" s="7" t="inlineStr">
        <is>
          <t>HUB-04, HUB-05, RA-05</t>
        </is>
      </c>
      <c r="H3" s="8">
        <f>COUNTIF('Test Case Mapping'!$E$2:$E$600,A3)</f>
        <v/>
      </c>
      <c r="I3" s="8">
        <f>COUNTIFS('Test Case Mapping'!$E$2:$E$600,A3,'Test Case Mapping'!$G$2:$G$600,"Yes")</f>
        <v/>
      </c>
      <c r="J3" s="8">
        <f>COUNTIFS('Test Case Mapping'!$E$2:$E$600,A3,'Test Case Mapping'!$I$2:$I$600,"Pass")</f>
        <v/>
      </c>
      <c r="K3" s="8">
        <f>COUNTIFS('Test Case Mapping'!$E$2:$E$600,A3,'Test Case Mapping'!$I$2:$I$600,"Fail")</f>
        <v/>
      </c>
      <c r="L3" s="8">
        <f>COUNTIFS('Test Case Mapping'!$E$2:$E$600,A3,'Test Case Mapping'!$I$2:$I$600,"Skipped")</f>
        <v/>
      </c>
      <c r="M3" s="8">
        <f>COUNTIFS('Test Case Mapping'!$E$2:$E$600,A3,'Test Case Mapping'!$I$2:$I$600,"Not run")</f>
        <v/>
      </c>
      <c r="N3" s="8">
        <f>IF(H3=0,"Not covered",IF(I3=H3,"Automated",IF(I3=0,"Manual only","Partly manual")))</f>
        <v/>
      </c>
      <c r="O3" s="8">
        <f>IF(H3=0,"Not run",IF(K3&gt;0,IF(J3&gt;0,"Partly failing","Fail"),IF(J3&gt;0,"Pass",IF(M3&gt;0,"Not run","Skipped"))))</f>
        <v/>
      </c>
      <c r="P3" s="8" t="inlineStr">
        <is>
          <t>—</t>
        </is>
      </c>
    </row>
    <row r="4">
      <c r="A4" s="8" t="inlineStr">
        <is>
          <t>REQ-HUB-03</t>
        </is>
      </c>
      <c r="B4" s="7" t="inlineStr">
        <is>
          <t>Reports &amp; Analytics hub</t>
        </is>
      </c>
      <c r="C4" s="7" t="inlineStr">
        <is>
          <t>Reports &amp; Analytics hub</t>
        </is>
      </c>
      <c r="D4" s="7" t="inlineStr">
        <is>
          <t>Hub loads without JavaScript errors or failed API calls</t>
        </is>
      </c>
      <c r="E4" s="8" t="inlineStr">
        <is>
          <t>Medium</t>
        </is>
      </c>
      <c r="F4" s="7" t="inlineStr">
        <is>
          <t>Core suite, Page tests (POM)</t>
        </is>
      </c>
      <c r="G4" s="7" t="inlineStr">
        <is>
          <t>HUB-06, RA-04</t>
        </is>
      </c>
      <c r="H4" s="8">
        <f>COUNTIF('Test Case Mapping'!$E$2:$E$600,A4)</f>
        <v/>
      </c>
      <c r="I4" s="8">
        <f>COUNTIFS('Test Case Mapping'!$E$2:$E$600,A4,'Test Case Mapping'!$G$2:$G$600,"Yes")</f>
        <v/>
      </c>
      <c r="J4" s="8">
        <f>COUNTIFS('Test Case Mapping'!$E$2:$E$600,A4,'Test Case Mapping'!$I$2:$I$600,"Pass")</f>
        <v/>
      </c>
      <c r="K4" s="8">
        <f>COUNTIFS('Test Case Mapping'!$E$2:$E$600,A4,'Test Case Mapping'!$I$2:$I$600,"Fail")</f>
        <v/>
      </c>
      <c r="L4" s="8">
        <f>COUNTIFS('Test Case Mapping'!$E$2:$E$600,A4,'Test Case Mapping'!$I$2:$I$600,"Skipped")</f>
        <v/>
      </c>
      <c r="M4" s="8">
        <f>COUNTIFS('Test Case Mapping'!$E$2:$E$600,A4,'Test Case Mapping'!$I$2:$I$600,"Not run")</f>
        <v/>
      </c>
      <c r="N4" s="8">
        <f>IF(H4=0,"Not covered",IF(I4=H4,"Automated",IF(I4=0,"Manual only","Partly manual")))</f>
        <v/>
      </c>
      <c r="O4" s="8">
        <f>IF(H4=0,"Not run",IF(K4&gt;0,IF(J4&gt;0,"Partly failing","Fail"),IF(J4&gt;0,"Pass",IF(M4&gt;0,"Not run","Skipped"))))</f>
        <v/>
      </c>
      <c r="P4" s="8" t="inlineStr">
        <is>
          <t>—</t>
        </is>
      </c>
    </row>
    <row r="5">
      <c r="A5" s="8" t="inlineStr">
        <is>
          <t>REQ-LR-01</t>
        </is>
      </c>
      <c r="B5" s="7" t="inlineStr">
        <is>
          <t>Lead Reports</t>
        </is>
      </c>
      <c r="C5" s="7" t="inlineStr">
        <is>
          <t>Lead Reports</t>
        </is>
      </c>
      <c r="D5" s="7" t="inlineStr">
        <is>
          <t>Page access, navigation, breadcrumb, help text and the 5 tabs (including tab URLs, reload and Back)</t>
        </is>
      </c>
      <c r="E5" s="8" t="inlineStr">
        <is>
          <t>Medium</t>
        </is>
      </c>
      <c r="F5" s="7" t="inlineStr">
        <is>
          <t>Core suite, Lead Reports workbook, Page tests (POM)</t>
        </is>
      </c>
      <c r="G5" s="7" t="inlineStr">
        <is>
          <t>LDR-01, LDR-11, LR-001…LR-015, RA-MOD-01</t>
        </is>
      </c>
      <c r="H5" s="8">
        <f>COUNTIF('Test Case Mapping'!$E$2:$E$600,A5)</f>
        <v/>
      </c>
      <c r="I5" s="8">
        <f>COUNTIFS('Test Case Mapping'!$E$2:$E$600,A5,'Test Case Mapping'!$G$2:$G$600,"Yes")</f>
        <v/>
      </c>
      <c r="J5" s="8">
        <f>COUNTIFS('Test Case Mapping'!$E$2:$E$600,A5,'Test Case Mapping'!$I$2:$I$600,"Pass")</f>
        <v/>
      </c>
      <c r="K5" s="8">
        <f>COUNTIFS('Test Case Mapping'!$E$2:$E$600,A5,'Test Case Mapping'!$I$2:$I$600,"Fail")</f>
        <v/>
      </c>
      <c r="L5" s="8">
        <f>COUNTIFS('Test Case Mapping'!$E$2:$E$600,A5,'Test Case Mapping'!$I$2:$I$600,"Skipped")</f>
        <v/>
      </c>
      <c r="M5" s="8">
        <f>COUNTIFS('Test Case Mapping'!$E$2:$E$600,A5,'Test Case Mapping'!$I$2:$I$600,"Not run")</f>
        <v/>
      </c>
      <c r="N5" s="8">
        <f>IF(H5=0,"Not covered",IF(I5=H5,"Automated",IF(I5=0,"Manual only","Partly manual")))</f>
        <v/>
      </c>
      <c r="O5" s="8">
        <f>IF(H5=0,"Not run",IF(K5&gt;0,IF(J5&gt;0,"Partly failing","Fail"),IF(J5&gt;0,"Pass",IF(M5&gt;0,"Not run","Skipped"))))</f>
        <v/>
      </c>
      <c r="P5" s="8" t="inlineStr">
        <is>
          <t>DEF-12</t>
        </is>
      </c>
    </row>
    <row r="6">
      <c r="A6" s="8" t="inlineStr">
        <is>
          <t>REQ-LR-02</t>
        </is>
      </c>
      <c r="B6" s="7" t="inlineStr">
        <is>
          <t>Lead Reports</t>
        </is>
      </c>
      <c r="C6" s="7" t="inlineStr">
        <is>
          <t>Lead Reports</t>
        </is>
      </c>
      <c r="D6" s="7" t="inlineStr">
        <is>
          <t>Period dropdown and custom dates reload every figure for the chosen range</t>
        </is>
      </c>
      <c r="E6" s="8" t="inlineStr">
        <is>
          <t>High</t>
        </is>
      </c>
      <c r="F6" s="7" t="inlineStr">
        <is>
          <t>Lead Reports workbook, Page tests (POM)</t>
        </is>
      </c>
      <c r="G6" s="7" t="inlineStr">
        <is>
          <t>LDR-04…LDR-06, LR-016…LR-022</t>
        </is>
      </c>
      <c r="H6" s="8">
        <f>COUNTIF('Test Case Mapping'!$E$2:$E$600,A6)</f>
        <v/>
      </c>
      <c r="I6" s="8">
        <f>COUNTIFS('Test Case Mapping'!$E$2:$E$600,A6,'Test Case Mapping'!$G$2:$G$600,"Yes")</f>
        <v/>
      </c>
      <c r="J6" s="8">
        <f>COUNTIFS('Test Case Mapping'!$E$2:$E$600,A6,'Test Case Mapping'!$I$2:$I$600,"Pass")</f>
        <v/>
      </c>
      <c r="K6" s="8">
        <f>COUNTIFS('Test Case Mapping'!$E$2:$E$600,A6,'Test Case Mapping'!$I$2:$I$600,"Fail")</f>
        <v/>
      </c>
      <c r="L6" s="8">
        <f>COUNTIFS('Test Case Mapping'!$E$2:$E$600,A6,'Test Case Mapping'!$I$2:$I$600,"Skipped")</f>
        <v/>
      </c>
      <c r="M6" s="8">
        <f>COUNTIFS('Test Case Mapping'!$E$2:$E$600,A6,'Test Case Mapping'!$I$2:$I$600,"Not run")</f>
        <v/>
      </c>
      <c r="N6" s="8">
        <f>IF(H6=0,"Not covered",IF(I6=H6,"Automated",IF(I6=0,"Manual only","Partly manual")))</f>
        <v/>
      </c>
      <c r="O6" s="8">
        <f>IF(H6=0,"Not run",IF(K6&gt;0,IF(J6&gt;0,"Partly failing","Fail"),IF(J6&gt;0,"Pass",IF(M6&gt;0,"Not run","Skipped"))))</f>
        <v/>
      </c>
      <c r="P6" s="8" t="inlineStr">
        <is>
          <t>DEF-01</t>
        </is>
      </c>
    </row>
    <row r="7">
      <c r="A7" s="8" t="inlineStr">
        <is>
          <t>REQ-LR-03</t>
        </is>
      </c>
      <c r="B7" s="7" t="inlineStr">
        <is>
          <t>Lead Reports</t>
        </is>
      </c>
      <c r="C7" s="7" t="inlineStr">
        <is>
          <t>Lead Reports</t>
        </is>
      </c>
      <c r="D7" s="7" t="inlineStr">
        <is>
          <t>Each header filter (Project, Lead Source, Channel, Campaign, Broker, Salesperson, Prospect Type, Nationality) narrows the report; reset restores it</t>
        </is>
      </c>
      <c r="E7" s="8" t="inlineStr">
        <is>
          <t>High</t>
        </is>
      </c>
      <c r="F7" s="7" t="inlineStr">
        <is>
          <t>Lead Reports workbook, Page tests (POM)</t>
        </is>
      </c>
      <c r="G7" s="7" t="inlineStr">
        <is>
          <t>LDR-07, LDR-09, LR-023…LR-035</t>
        </is>
      </c>
      <c r="H7" s="8">
        <f>COUNTIF('Test Case Mapping'!$E$2:$E$600,A7)</f>
        <v/>
      </c>
      <c r="I7" s="8">
        <f>COUNTIFS('Test Case Mapping'!$E$2:$E$600,A7,'Test Case Mapping'!$G$2:$G$600,"Yes")</f>
        <v/>
      </c>
      <c r="J7" s="8">
        <f>COUNTIFS('Test Case Mapping'!$E$2:$E$600,A7,'Test Case Mapping'!$I$2:$I$600,"Pass")</f>
        <v/>
      </c>
      <c r="K7" s="8">
        <f>COUNTIFS('Test Case Mapping'!$E$2:$E$600,A7,'Test Case Mapping'!$I$2:$I$600,"Fail")</f>
        <v/>
      </c>
      <c r="L7" s="8">
        <f>COUNTIFS('Test Case Mapping'!$E$2:$E$600,A7,'Test Case Mapping'!$I$2:$I$600,"Skipped")</f>
        <v/>
      </c>
      <c r="M7" s="8">
        <f>COUNTIFS('Test Case Mapping'!$E$2:$E$600,A7,'Test Case Mapping'!$I$2:$I$600,"Not run")</f>
        <v/>
      </c>
      <c r="N7" s="8">
        <f>IF(H7=0,"Not covered",IF(I7=H7,"Automated",IF(I7=0,"Manual only","Partly manual")))</f>
        <v/>
      </c>
      <c r="O7" s="8">
        <f>IF(H7=0,"Not run",IF(K7&gt;0,IF(J7&gt;0,"Partly failing","Fail"),IF(J7&gt;0,"Pass",IF(M7&gt;0,"Not run","Skipped"))))</f>
        <v/>
      </c>
      <c r="P7" s="8" t="inlineStr">
        <is>
          <t>—</t>
        </is>
      </c>
    </row>
    <row r="8">
      <c r="A8" s="8" t="inlineStr">
        <is>
          <t>REQ-LR-04</t>
        </is>
      </c>
      <c r="B8" s="7" t="inlineStr">
        <is>
          <t>Lead Reports</t>
        </is>
      </c>
      <c r="C8" s="7" t="inlineStr">
        <is>
          <t>Lead Reports</t>
        </is>
      </c>
      <c r="D8" s="7" t="inlineStr">
        <is>
          <t>Filter combinations, clearing a filter, "All" values, empty / single-lead results and filter master data are handled correctly</t>
        </is>
      </c>
      <c r="E8" s="8" t="inlineStr">
        <is>
          <t>High</t>
        </is>
      </c>
      <c r="F8" s="7" t="inlineStr">
        <is>
          <t>Lead Reports workbook</t>
        </is>
      </c>
      <c r="G8" s="7" t="inlineStr">
        <is>
          <t>LR-147…LR-156</t>
        </is>
      </c>
      <c r="H8" s="8">
        <f>COUNTIF('Test Case Mapping'!$E$2:$E$600,A8)</f>
        <v/>
      </c>
      <c r="I8" s="8">
        <f>COUNTIFS('Test Case Mapping'!$E$2:$E$600,A8,'Test Case Mapping'!$G$2:$G$600,"Yes")</f>
        <v/>
      </c>
      <c r="J8" s="8">
        <f>COUNTIFS('Test Case Mapping'!$E$2:$E$600,A8,'Test Case Mapping'!$I$2:$I$600,"Pass")</f>
        <v/>
      </c>
      <c r="K8" s="8">
        <f>COUNTIFS('Test Case Mapping'!$E$2:$E$600,A8,'Test Case Mapping'!$I$2:$I$600,"Fail")</f>
        <v/>
      </c>
      <c r="L8" s="8">
        <f>COUNTIFS('Test Case Mapping'!$E$2:$E$600,A8,'Test Case Mapping'!$I$2:$I$600,"Skipped")</f>
        <v/>
      </c>
      <c r="M8" s="8">
        <f>COUNTIFS('Test Case Mapping'!$E$2:$E$600,A8,'Test Case Mapping'!$I$2:$I$600,"Not run")</f>
        <v/>
      </c>
      <c r="N8" s="8">
        <f>IF(H8=0,"Not covered",IF(I8=H8,"Automated",IF(I8=0,"Manual only","Partly manual")))</f>
        <v/>
      </c>
      <c r="O8" s="8">
        <f>IF(H8=0,"Not run",IF(K8&gt;0,IF(J8&gt;0,"Partly failing","Fail"),IF(J8&gt;0,"Pass",IF(M8&gt;0,"Not run","Skipped"))))</f>
        <v/>
      </c>
      <c r="P8" s="8" t="inlineStr">
        <is>
          <t>DEF-17</t>
        </is>
      </c>
    </row>
    <row r="9">
      <c r="A9" s="8" t="inlineStr">
        <is>
          <t>REQ-LR-05</t>
        </is>
      </c>
      <c r="B9" s="7" t="inlineStr">
        <is>
          <t>Lead Reports</t>
        </is>
      </c>
      <c r="C9" s="7" t="inlineStr">
        <is>
          <t>Lead Reports</t>
        </is>
      </c>
      <c r="D9" s="7" t="inlineStr">
        <is>
          <t>With each filter applied, every count on every tab is correct (cards, funnel, lists, tables, aging, qualification, scorecard)</t>
        </is>
      </c>
      <c r="E9" s="8" t="inlineStr">
        <is>
          <t>High</t>
        </is>
      </c>
      <c r="F9" s="7" t="inlineStr">
        <is>
          <t>Lead Reports workbook</t>
        </is>
      </c>
      <c r="G9" s="7" t="inlineStr">
        <is>
          <t>LR-157…LR-166</t>
        </is>
      </c>
      <c r="H9" s="8">
        <f>COUNTIF('Test Case Mapping'!$E$2:$E$600,A9)</f>
        <v/>
      </c>
      <c r="I9" s="8">
        <f>COUNTIFS('Test Case Mapping'!$E$2:$E$600,A9,'Test Case Mapping'!$G$2:$G$600,"Yes")</f>
        <v/>
      </c>
      <c r="J9" s="8">
        <f>COUNTIFS('Test Case Mapping'!$E$2:$E$600,A9,'Test Case Mapping'!$I$2:$I$600,"Pass")</f>
        <v/>
      </c>
      <c r="K9" s="8">
        <f>COUNTIFS('Test Case Mapping'!$E$2:$E$600,A9,'Test Case Mapping'!$I$2:$I$600,"Fail")</f>
        <v/>
      </c>
      <c r="L9" s="8">
        <f>COUNTIFS('Test Case Mapping'!$E$2:$E$600,A9,'Test Case Mapping'!$I$2:$I$600,"Skipped")</f>
        <v/>
      </c>
      <c r="M9" s="8">
        <f>COUNTIFS('Test Case Mapping'!$E$2:$E$600,A9,'Test Case Mapping'!$I$2:$I$600,"Not run")</f>
        <v/>
      </c>
      <c r="N9" s="8">
        <f>IF(H9=0,"Not covered",IF(I9=H9,"Automated",IF(I9=0,"Manual only","Partly manual")))</f>
        <v/>
      </c>
      <c r="O9" s="8">
        <f>IF(H9=0,"Not run",IF(K9&gt;0,IF(J9&gt;0,"Partly failing","Fail"),IF(J9&gt;0,"Pass",IF(M9&gt;0,"Not run","Skipped"))))</f>
        <v/>
      </c>
      <c r="P9" s="8" t="inlineStr">
        <is>
          <t>DEF-17</t>
        </is>
      </c>
    </row>
    <row r="10">
      <c r="A10" s="8" t="inlineStr">
        <is>
          <t>REQ-LR-06</t>
        </is>
      </c>
      <c r="B10" s="7" t="inlineStr">
        <is>
          <t>Lead Reports</t>
        </is>
      </c>
      <c r="C10" s="7" t="inlineStr">
        <is>
          <t>Lead Reports</t>
        </is>
      </c>
      <c r="D10" s="7" t="inlineStr">
        <is>
          <t>Views All / You and your team / Mine show the right scope for the user's role</t>
        </is>
      </c>
      <c r="E10" s="8" t="inlineStr">
        <is>
          <t>High</t>
        </is>
      </c>
      <c r="F10" s="7" t="inlineStr">
        <is>
          <t>Lead Reports workbook, Page tests (POM)</t>
        </is>
      </c>
      <c r="G10" s="7" t="inlineStr">
        <is>
          <t>LDR-08, LR-036…LR-041</t>
        </is>
      </c>
      <c r="H10" s="8">
        <f>COUNTIF('Test Case Mapping'!$E$2:$E$600,A10)</f>
        <v/>
      </c>
      <c r="I10" s="8">
        <f>COUNTIFS('Test Case Mapping'!$E$2:$E$600,A10,'Test Case Mapping'!$G$2:$G$600,"Yes")</f>
        <v/>
      </c>
      <c r="J10" s="8">
        <f>COUNTIFS('Test Case Mapping'!$E$2:$E$600,A10,'Test Case Mapping'!$I$2:$I$600,"Pass")</f>
        <v/>
      </c>
      <c r="K10" s="8">
        <f>COUNTIFS('Test Case Mapping'!$E$2:$E$600,A10,'Test Case Mapping'!$I$2:$I$600,"Fail")</f>
        <v/>
      </c>
      <c r="L10" s="8">
        <f>COUNTIFS('Test Case Mapping'!$E$2:$E$600,A10,'Test Case Mapping'!$I$2:$I$600,"Skipped")</f>
        <v/>
      </c>
      <c r="M10" s="8">
        <f>COUNTIFS('Test Case Mapping'!$E$2:$E$600,A10,'Test Case Mapping'!$I$2:$I$600,"Not run")</f>
        <v/>
      </c>
      <c r="N10" s="8">
        <f>IF(H10=0,"Not covered",IF(I10=H10,"Automated",IF(I10=0,"Manual only","Partly manual")))</f>
        <v/>
      </c>
      <c r="O10" s="8">
        <f>IF(H10=0,"Not run",IF(K10&gt;0,IF(J10&gt;0,"Partly failing","Fail"),IF(J10&gt;0,"Pass",IF(M10&gt;0,"Not run","Skipped"))))</f>
        <v/>
      </c>
      <c r="P10" s="8" t="inlineStr">
        <is>
          <t>—</t>
        </is>
      </c>
    </row>
    <row r="11">
      <c r="A11" s="8" t="inlineStr">
        <is>
          <t>REQ-LR-07</t>
        </is>
      </c>
      <c r="B11" s="7" t="inlineStr">
        <is>
          <t>Lead Reports</t>
        </is>
      </c>
      <c r="C11" s="7" t="inlineStr">
        <is>
          <t>Lead Reports</t>
        </is>
      </c>
      <c r="D11" s="7" t="inlineStr">
        <is>
          <t>Overview KPI cards (counts, rates, Won Value, time to first contact, Open Leads Now) are correct</t>
        </is>
      </c>
      <c r="E11" s="8" t="inlineStr">
        <is>
          <t>High</t>
        </is>
      </c>
      <c r="F11" s="7" t="inlineStr">
        <is>
          <t>Core suite, Lead Reports workbook, Page tests (POM)</t>
        </is>
      </c>
      <c r="G11" s="7" t="inlineStr">
        <is>
          <t>LDR-02, LDR-03, LR-042…LR-053, RM-01</t>
        </is>
      </c>
      <c r="H11" s="8">
        <f>COUNTIF('Test Case Mapping'!$E$2:$E$600,A11)</f>
        <v/>
      </c>
      <c r="I11" s="8">
        <f>COUNTIFS('Test Case Mapping'!$E$2:$E$600,A11,'Test Case Mapping'!$G$2:$G$600,"Yes")</f>
        <v/>
      </c>
      <c r="J11" s="8">
        <f>COUNTIFS('Test Case Mapping'!$E$2:$E$600,A11,'Test Case Mapping'!$I$2:$I$600,"Pass")</f>
        <v/>
      </c>
      <c r="K11" s="8">
        <f>COUNTIFS('Test Case Mapping'!$E$2:$E$600,A11,'Test Case Mapping'!$I$2:$I$600,"Fail")</f>
        <v/>
      </c>
      <c r="L11" s="8">
        <f>COUNTIFS('Test Case Mapping'!$E$2:$E$600,A11,'Test Case Mapping'!$I$2:$I$600,"Skipped")</f>
        <v/>
      </c>
      <c r="M11" s="8">
        <f>COUNTIFS('Test Case Mapping'!$E$2:$E$600,A11,'Test Case Mapping'!$I$2:$I$600,"Not run")</f>
        <v/>
      </c>
      <c r="N11" s="8">
        <f>IF(H11=0,"Not covered",IF(I11=H11,"Automated",IF(I11=0,"Manual only","Partly manual")))</f>
        <v/>
      </c>
      <c r="O11" s="8">
        <f>IF(H11=0,"Not run",IF(K11&gt;0,IF(J11&gt;0,"Partly failing","Fail"),IF(J11&gt;0,"Pass",IF(M11&gt;0,"Not run","Skipped"))))</f>
        <v/>
      </c>
      <c r="P11" s="8" t="inlineStr">
        <is>
          <t>—</t>
        </is>
      </c>
    </row>
    <row r="12">
      <c r="A12" s="8" t="inlineStr">
        <is>
          <t>REQ-LR-08</t>
        </is>
      </c>
      <c r="B12" s="7" t="inlineStr">
        <is>
          <t>Lead Reports</t>
        </is>
      </c>
      <c r="C12" s="7" t="inlineStr">
        <is>
          <t>Lead Reports</t>
        </is>
      </c>
      <c r="D12" s="7" t="inlineStr">
        <is>
          <t>Lead Funnel, Data Completeness and 12-Month Trend are correct and consistent with the cards</t>
        </is>
      </c>
      <c r="E12" s="8" t="inlineStr">
        <is>
          <t>High</t>
        </is>
      </c>
      <c r="F12" s="7" t="inlineStr">
        <is>
          <t>Lead Reports workbook, Page tests (POM)</t>
        </is>
      </c>
      <c r="G12" s="7" t="inlineStr">
        <is>
          <t>LDR-12…LDR-16, LR-054…LR-067</t>
        </is>
      </c>
      <c r="H12" s="8">
        <f>COUNTIF('Test Case Mapping'!$E$2:$E$600,A12)</f>
        <v/>
      </c>
      <c r="I12" s="8">
        <f>COUNTIFS('Test Case Mapping'!$E$2:$E$600,A12,'Test Case Mapping'!$G$2:$G$600,"Yes")</f>
        <v/>
      </c>
      <c r="J12" s="8">
        <f>COUNTIFS('Test Case Mapping'!$E$2:$E$600,A12,'Test Case Mapping'!$I$2:$I$600,"Pass")</f>
        <v/>
      </c>
      <c r="K12" s="8">
        <f>COUNTIFS('Test Case Mapping'!$E$2:$E$600,A12,'Test Case Mapping'!$I$2:$I$600,"Fail")</f>
        <v/>
      </c>
      <c r="L12" s="8">
        <f>COUNTIFS('Test Case Mapping'!$E$2:$E$600,A12,'Test Case Mapping'!$I$2:$I$600,"Skipped")</f>
        <v/>
      </c>
      <c r="M12" s="8">
        <f>COUNTIFS('Test Case Mapping'!$E$2:$E$600,A12,'Test Case Mapping'!$I$2:$I$600,"Not run")</f>
        <v/>
      </c>
      <c r="N12" s="8">
        <f>IF(H12=0,"Not covered",IF(I12=H12,"Automated",IF(I12=0,"Manual only","Partly manual")))</f>
        <v/>
      </c>
      <c r="O12" s="8">
        <f>IF(H12=0,"Not run",IF(K12&gt;0,IF(J12&gt;0,"Partly failing","Fail"),IF(J12&gt;0,"Pass",IF(M12&gt;0,"Not run","Skipped"))))</f>
        <v/>
      </c>
      <c r="P12" s="8" t="inlineStr">
        <is>
          <t>—</t>
        </is>
      </c>
    </row>
    <row r="13">
      <c r="A13" s="8" t="inlineStr">
        <is>
          <t>REQ-LR-09</t>
        </is>
      </c>
      <c r="B13" s="7" t="inlineStr">
        <is>
          <t>Lead Reports</t>
        </is>
      </c>
      <c r="C13" s="7" t="inlineStr">
        <is>
          <t>Lead Reports</t>
        </is>
      </c>
      <c r="D13" s="7" t="inlineStr">
        <is>
          <t>Every count link opens a drill-down list with exactly that many leads, matching its export and its bucket rules</t>
        </is>
      </c>
      <c r="E13" s="8" t="inlineStr">
        <is>
          <t>High</t>
        </is>
      </c>
      <c r="F13" s="7" t="inlineStr">
        <is>
          <t>Lead Reports workbook, Lead Reports workbook (Drill-down Verification)</t>
        </is>
      </c>
      <c r="G13" s="7" t="inlineStr">
        <is>
          <t>LR-068…LR-079, LR-145, LR-146, LR-DDV-01…LR-DDV-13</t>
        </is>
      </c>
      <c r="H13" s="8">
        <f>COUNTIF('Test Case Mapping'!$E$2:$E$600,A13)</f>
        <v/>
      </c>
      <c r="I13" s="8">
        <f>COUNTIFS('Test Case Mapping'!$E$2:$E$600,A13,'Test Case Mapping'!$G$2:$G$600,"Yes")</f>
        <v/>
      </c>
      <c r="J13" s="8">
        <f>COUNTIFS('Test Case Mapping'!$E$2:$E$600,A13,'Test Case Mapping'!$I$2:$I$600,"Pass")</f>
        <v/>
      </c>
      <c r="K13" s="8">
        <f>COUNTIFS('Test Case Mapping'!$E$2:$E$600,A13,'Test Case Mapping'!$I$2:$I$600,"Fail")</f>
        <v/>
      </c>
      <c r="L13" s="8">
        <f>COUNTIFS('Test Case Mapping'!$E$2:$E$600,A13,'Test Case Mapping'!$I$2:$I$600,"Skipped")</f>
        <v/>
      </c>
      <c r="M13" s="8">
        <f>COUNTIFS('Test Case Mapping'!$E$2:$E$600,A13,'Test Case Mapping'!$I$2:$I$600,"Not run")</f>
        <v/>
      </c>
      <c r="N13" s="8">
        <f>IF(H13=0,"Not covered",IF(I13=H13,"Automated",IF(I13=0,"Manual only","Partly manual")))</f>
        <v/>
      </c>
      <c r="O13" s="8">
        <f>IF(H13=0,"Not run",IF(K13&gt;0,IF(J13&gt;0,"Partly failing","Fail"),IF(J13&gt;0,"Pass",IF(M13&gt;0,"Not run","Skipped"))))</f>
        <v/>
      </c>
      <c r="P13" s="8" t="inlineStr">
        <is>
          <t>DEF-12</t>
        </is>
      </c>
    </row>
    <row r="14">
      <c r="A14" s="8" t="inlineStr">
        <is>
          <t>REQ-LR-10</t>
        </is>
      </c>
      <c r="B14" s="7" t="inlineStr">
        <is>
          <t>Lead Reports</t>
        </is>
      </c>
      <c r="C14" s="7" t="inlineStr">
        <is>
          <t>Lead Reports</t>
        </is>
      </c>
      <c r="D14" s="7" t="inlineStr">
        <is>
          <t>Source &amp; Channel: 8 groupings, Total row, rates, count links and export are correct</t>
        </is>
      </c>
      <c r="E14" s="8" t="inlineStr">
        <is>
          <t>High</t>
        </is>
      </c>
      <c r="F14" s="7" t="inlineStr">
        <is>
          <t>Lead Reports workbook, Page tests (POM)</t>
        </is>
      </c>
      <c r="G14" s="7" t="inlineStr">
        <is>
          <t>LDR-10, LR-080…LR-102</t>
        </is>
      </c>
      <c r="H14" s="8">
        <f>COUNTIF('Test Case Mapping'!$E$2:$E$600,A14)</f>
        <v/>
      </c>
      <c r="I14" s="8">
        <f>COUNTIFS('Test Case Mapping'!$E$2:$E$600,A14,'Test Case Mapping'!$G$2:$G$600,"Yes")</f>
        <v/>
      </c>
      <c r="J14" s="8">
        <f>COUNTIFS('Test Case Mapping'!$E$2:$E$600,A14,'Test Case Mapping'!$I$2:$I$600,"Pass")</f>
        <v/>
      </c>
      <c r="K14" s="8">
        <f>COUNTIFS('Test Case Mapping'!$E$2:$E$600,A14,'Test Case Mapping'!$I$2:$I$600,"Fail")</f>
        <v/>
      </c>
      <c r="L14" s="8">
        <f>COUNTIFS('Test Case Mapping'!$E$2:$E$600,A14,'Test Case Mapping'!$I$2:$I$600,"Skipped")</f>
        <v/>
      </c>
      <c r="M14" s="8">
        <f>COUNTIFS('Test Case Mapping'!$E$2:$E$600,A14,'Test Case Mapping'!$I$2:$I$600,"Not run")</f>
        <v/>
      </c>
      <c r="N14" s="8">
        <f>IF(H14=0,"Not covered",IF(I14=H14,"Automated",IF(I14=0,"Manual only","Partly manual")))</f>
        <v/>
      </c>
      <c r="O14" s="8">
        <f>IF(H14=0,"Not run",IF(K14&gt;0,IF(J14&gt;0,"Partly failing","Fail"),IF(J14&gt;0,"Pass",IF(M14&gt;0,"Not run","Skipped"))))</f>
        <v/>
      </c>
      <c r="P14" s="8" t="inlineStr">
        <is>
          <t>—</t>
        </is>
      </c>
    </row>
    <row r="15">
      <c r="A15" s="8" t="inlineStr">
        <is>
          <t>REQ-LR-11</t>
        </is>
      </c>
      <c r="B15" s="7" t="inlineStr">
        <is>
          <t>Lead Reports</t>
        </is>
      </c>
      <c r="C15" s="7" t="inlineStr">
        <is>
          <t>Lead Reports</t>
        </is>
      </c>
      <c r="D15" s="7" t="inlineStr">
        <is>
          <t>Aging &amp; Follow-up: cards, idle / age buckets, salesperson and status tables, longest idle list and export are correct</t>
        </is>
      </c>
      <c r="E15" s="8" t="inlineStr">
        <is>
          <t>High</t>
        </is>
      </c>
      <c r="F15" s="7" t="inlineStr">
        <is>
          <t>Lead Reports workbook</t>
        </is>
      </c>
      <c r="G15" s="7" t="inlineStr">
        <is>
          <t>LR-103…LR-116</t>
        </is>
      </c>
      <c r="H15" s="8">
        <f>COUNTIF('Test Case Mapping'!$E$2:$E$600,A15)</f>
        <v/>
      </c>
      <c r="I15" s="8">
        <f>COUNTIFS('Test Case Mapping'!$E$2:$E$600,A15,'Test Case Mapping'!$G$2:$G$600,"Yes")</f>
        <v/>
      </c>
      <c r="J15" s="8">
        <f>COUNTIFS('Test Case Mapping'!$E$2:$E$600,A15,'Test Case Mapping'!$I$2:$I$600,"Pass")</f>
        <v/>
      </c>
      <c r="K15" s="8">
        <f>COUNTIFS('Test Case Mapping'!$E$2:$E$600,A15,'Test Case Mapping'!$I$2:$I$600,"Fail")</f>
        <v/>
      </c>
      <c r="L15" s="8">
        <f>COUNTIFS('Test Case Mapping'!$E$2:$E$600,A15,'Test Case Mapping'!$I$2:$I$600,"Skipped")</f>
        <v/>
      </c>
      <c r="M15" s="8">
        <f>COUNTIFS('Test Case Mapping'!$E$2:$E$600,A15,'Test Case Mapping'!$I$2:$I$600,"Not run")</f>
        <v/>
      </c>
      <c r="N15" s="8">
        <f>IF(H15=0,"Not covered",IF(I15=H15,"Automated",IF(I15=0,"Manual only","Partly manual")))</f>
        <v/>
      </c>
      <c r="O15" s="8">
        <f>IF(H15=0,"Not run",IF(K15&gt;0,IF(J15&gt;0,"Partly failing","Fail"),IF(J15&gt;0,"Pass",IF(M15&gt;0,"Not run","Skipped"))))</f>
        <v/>
      </c>
      <c r="P15" s="8" t="inlineStr">
        <is>
          <t>—</t>
        </is>
      </c>
    </row>
    <row r="16">
      <c r="A16" s="8" t="inlineStr">
        <is>
          <t>REQ-LR-12</t>
        </is>
      </c>
      <c r="B16" s="7" t="inlineStr">
        <is>
          <t>Lead Reports</t>
        </is>
      </c>
      <c r="C16" s="7" t="inlineStr">
        <is>
          <t>Lead Reports</t>
        </is>
      </c>
      <c r="D16" s="7" t="inlineStr">
        <is>
          <t>Qualification &amp; Conversion: time-to-stage cards, rating / score tables, Where the Leads Are Now and Lost Reasons are correct</t>
        </is>
      </c>
      <c r="E16" s="8" t="inlineStr">
        <is>
          <t>High</t>
        </is>
      </c>
      <c r="F16" s="7" t="inlineStr">
        <is>
          <t>Lead Reports workbook</t>
        </is>
      </c>
      <c r="G16" s="7" t="inlineStr">
        <is>
          <t>LR-117…LR-125</t>
        </is>
      </c>
      <c r="H16" s="8">
        <f>COUNTIF('Test Case Mapping'!$E$2:$E$600,A16)</f>
        <v/>
      </c>
      <c r="I16" s="8">
        <f>COUNTIFS('Test Case Mapping'!$E$2:$E$600,A16,'Test Case Mapping'!$G$2:$G$600,"Yes")</f>
        <v/>
      </c>
      <c r="J16" s="8">
        <f>COUNTIFS('Test Case Mapping'!$E$2:$E$600,A16,'Test Case Mapping'!$I$2:$I$600,"Pass")</f>
        <v/>
      </c>
      <c r="K16" s="8">
        <f>COUNTIFS('Test Case Mapping'!$E$2:$E$600,A16,'Test Case Mapping'!$I$2:$I$600,"Fail")</f>
        <v/>
      </c>
      <c r="L16" s="8">
        <f>COUNTIFS('Test Case Mapping'!$E$2:$E$600,A16,'Test Case Mapping'!$I$2:$I$600,"Skipped")</f>
        <v/>
      </c>
      <c r="M16" s="8">
        <f>COUNTIFS('Test Case Mapping'!$E$2:$E$600,A16,'Test Case Mapping'!$I$2:$I$600,"Not run")</f>
        <v/>
      </c>
      <c r="N16" s="8">
        <f>IF(H16=0,"Not covered",IF(I16=H16,"Automated",IF(I16=0,"Manual only","Partly manual")))</f>
        <v/>
      </c>
      <c r="O16" s="8">
        <f>IF(H16=0,"Not run",IF(K16&gt;0,IF(J16&gt;0,"Partly failing","Fail"),IF(J16&gt;0,"Pass",IF(M16&gt;0,"Not run","Skipped"))))</f>
        <v/>
      </c>
      <c r="P16" s="8" t="inlineStr">
        <is>
          <t>DEF-14</t>
        </is>
      </c>
    </row>
    <row r="17">
      <c r="A17" s="8" t="inlineStr">
        <is>
          <t>REQ-LR-13</t>
        </is>
      </c>
      <c r="B17" s="7" t="inlineStr">
        <is>
          <t>Lead Reports</t>
        </is>
      </c>
      <c r="C17" s="7" t="inlineStr">
        <is>
          <t>Lead Reports</t>
        </is>
      </c>
      <c r="D17" s="7" t="inlineStr">
        <is>
          <t>Salesperson Scorecard: columns, totals, rates, count links, "as of today" columns and export are correct</t>
        </is>
      </c>
      <c r="E17" s="8" t="inlineStr">
        <is>
          <t>High</t>
        </is>
      </c>
      <c r="F17" s="7" t="inlineStr">
        <is>
          <t>Lead Reports workbook</t>
        </is>
      </c>
      <c r="G17" s="7" t="inlineStr">
        <is>
          <t>LR-126…LR-138</t>
        </is>
      </c>
      <c r="H17" s="8">
        <f>COUNTIF('Test Case Mapping'!$E$2:$E$600,A17)</f>
        <v/>
      </c>
      <c r="I17" s="8">
        <f>COUNTIFS('Test Case Mapping'!$E$2:$E$600,A17,'Test Case Mapping'!$G$2:$G$600,"Yes")</f>
        <v/>
      </c>
      <c r="J17" s="8">
        <f>COUNTIFS('Test Case Mapping'!$E$2:$E$600,A17,'Test Case Mapping'!$I$2:$I$600,"Pass")</f>
        <v/>
      </c>
      <c r="K17" s="8">
        <f>COUNTIFS('Test Case Mapping'!$E$2:$E$600,A17,'Test Case Mapping'!$I$2:$I$600,"Fail")</f>
        <v/>
      </c>
      <c r="L17" s="8">
        <f>COUNTIFS('Test Case Mapping'!$E$2:$E$600,A17,'Test Case Mapping'!$I$2:$I$600,"Skipped")</f>
        <v/>
      </c>
      <c r="M17" s="8">
        <f>COUNTIFS('Test Case Mapping'!$E$2:$E$600,A17,'Test Case Mapping'!$I$2:$I$600,"Not run")</f>
        <v/>
      </c>
      <c r="N17" s="8">
        <f>IF(H17=0,"Not covered",IF(I17=H17,"Automated",IF(I17=0,"Manual only","Partly manual")))</f>
        <v/>
      </c>
      <c r="O17" s="8">
        <f>IF(H17=0,"Not run",IF(K17&gt;0,IF(J17&gt;0,"Partly failing","Fail"),IF(J17&gt;0,"Pass",IF(M17&gt;0,"Not run","Skipped"))))</f>
        <v/>
      </c>
      <c r="P17" s="8" t="inlineStr">
        <is>
          <t>—</t>
        </is>
      </c>
    </row>
    <row r="18">
      <c r="A18" s="8" t="inlineStr">
        <is>
          <t>REQ-LR-14</t>
        </is>
      </c>
      <c r="B18" s="7" t="inlineStr">
        <is>
          <t>Lead Reports</t>
        </is>
      </c>
      <c r="C18" s="7" t="inlineStr">
        <is>
          <t>Lead Reports</t>
        </is>
      </c>
      <c r="D18" s="7" t="inlineStr">
        <is>
          <t>Agrees with other pages; works on tablet / phone, by keyboard, within the load budget and on API errors</t>
        </is>
      </c>
      <c r="E18" s="8" t="inlineStr">
        <is>
          <t>Medium</t>
        </is>
      </c>
      <c r="F18" s="7" t="inlineStr">
        <is>
          <t>Lead Reports workbook</t>
        </is>
      </c>
      <c r="G18" s="7" t="inlineStr">
        <is>
          <t>LR-139…LR-144</t>
        </is>
      </c>
      <c r="H18" s="8">
        <f>COUNTIF('Test Case Mapping'!$E$2:$E$600,A18)</f>
        <v/>
      </c>
      <c r="I18" s="8">
        <f>COUNTIFS('Test Case Mapping'!$E$2:$E$600,A18,'Test Case Mapping'!$G$2:$G$600,"Yes")</f>
        <v/>
      </c>
      <c r="J18" s="8">
        <f>COUNTIFS('Test Case Mapping'!$E$2:$E$600,A18,'Test Case Mapping'!$I$2:$I$600,"Pass")</f>
        <v/>
      </c>
      <c r="K18" s="8">
        <f>COUNTIFS('Test Case Mapping'!$E$2:$E$600,A18,'Test Case Mapping'!$I$2:$I$600,"Fail")</f>
        <v/>
      </c>
      <c r="L18" s="8">
        <f>COUNTIFS('Test Case Mapping'!$E$2:$E$600,A18,'Test Case Mapping'!$I$2:$I$600,"Skipped")</f>
        <v/>
      </c>
      <c r="M18" s="8">
        <f>COUNTIFS('Test Case Mapping'!$E$2:$E$600,A18,'Test Case Mapping'!$I$2:$I$600,"Not run")</f>
        <v/>
      </c>
      <c r="N18" s="8">
        <f>IF(H18=0,"Not covered",IF(I18=H18,"Automated",IF(I18=0,"Manual only","Partly manual")))</f>
        <v/>
      </c>
      <c r="O18" s="8">
        <f>IF(H18=0,"Not run",IF(K18&gt;0,IF(J18&gt;0,"Partly failing","Fail"),IF(J18&gt;0,"Pass",IF(M18&gt;0,"Not run","Skipped"))))</f>
        <v/>
      </c>
      <c r="P18" s="8" t="inlineStr">
        <is>
          <t>DEF-13</t>
        </is>
      </c>
    </row>
    <row r="19">
      <c r="A19" s="8" t="inlineStr">
        <is>
          <t>REQ-LR-15</t>
        </is>
      </c>
      <c r="B19" s="7" t="inlineStr">
        <is>
          <t>Lead Reports</t>
        </is>
      </c>
      <c r="C19" s="7" t="inlineStr">
        <is>
          <t>Lead Reports</t>
        </is>
      </c>
      <c r="D19" s="7" t="inlineStr">
        <is>
          <t>Every clickable element behaves as documented in the Clickable Map</t>
        </is>
      </c>
      <c r="E19" s="8" t="inlineStr">
        <is>
          <t>Medium</t>
        </is>
      </c>
      <c r="F19" s="7" t="inlineStr">
        <is>
          <t>Lead Reports workbook (Clickable Map)</t>
        </is>
      </c>
      <c r="G19" s="7" t="inlineStr">
        <is>
          <t>LR-MAP-00…LR-MAP-32</t>
        </is>
      </c>
      <c r="H19" s="8">
        <f>COUNTIF('Test Case Mapping'!$E$2:$E$600,A19)</f>
        <v/>
      </c>
      <c r="I19" s="8">
        <f>COUNTIFS('Test Case Mapping'!$E$2:$E$600,A19,'Test Case Mapping'!$G$2:$G$600,"Yes")</f>
        <v/>
      </c>
      <c r="J19" s="8">
        <f>COUNTIFS('Test Case Mapping'!$E$2:$E$600,A19,'Test Case Mapping'!$I$2:$I$600,"Pass")</f>
        <v/>
      </c>
      <c r="K19" s="8">
        <f>COUNTIFS('Test Case Mapping'!$E$2:$E$600,A19,'Test Case Mapping'!$I$2:$I$600,"Fail")</f>
        <v/>
      </c>
      <c r="L19" s="8">
        <f>COUNTIFS('Test Case Mapping'!$E$2:$E$600,A19,'Test Case Mapping'!$I$2:$I$600,"Skipped")</f>
        <v/>
      </c>
      <c r="M19" s="8">
        <f>COUNTIFS('Test Case Mapping'!$E$2:$E$600,A19,'Test Case Mapping'!$I$2:$I$600,"Not run")</f>
        <v/>
      </c>
      <c r="N19" s="8">
        <f>IF(H19=0,"Not covered",IF(I19=H19,"Automated",IF(I19=0,"Manual only","Partly manual")))</f>
        <v/>
      </c>
      <c r="O19" s="8">
        <f>IF(H19=0,"Not run",IF(K19&gt;0,IF(J19&gt;0,"Partly failing","Fail"),IF(J19&gt;0,"Pass",IF(M19&gt;0,"Not run","Skipped"))))</f>
        <v/>
      </c>
      <c r="P19" s="8" t="inlineStr">
        <is>
          <t>—</t>
        </is>
      </c>
    </row>
    <row r="20">
      <c r="A20" s="8" t="inlineStr">
        <is>
          <t>REQ-LR-16</t>
        </is>
      </c>
      <c r="B20" s="7" t="inlineStr">
        <is>
          <t>Lead Reports</t>
        </is>
      </c>
      <c r="C20" s="7" t="inlineStr">
        <is>
          <t>Lead Reports</t>
        </is>
      </c>
      <c r="D20" s="7" t="inlineStr">
        <is>
          <t>Recorded observations are re-checked every run, and every workbook test case is automated</t>
        </is>
      </c>
      <c r="E20" s="8" t="inlineStr">
        <is>
          <t>Low</t>
        </is>
      </c>
      <c r="F20" s="7" t="inlineStr">
        <is>
          <t>Lead Reports workbook (Observations), Lead Reports workbook (coverage check)</t>
        </is>
      </c>
      <c r="G20" s="7" t="inlineStr">
        <is>
          <t>LR-COV-01, LR-OBS-00…LR-OBS-13</t>
        </is>
      </c>
      <c r="H20" s="8">
        <f>COUNTIF('Test Case Mapping'!$E$2:$E$600,A20)</f>
        <v/>
      </c>
      <c r="I20" s="8">
        <f>COUNTIFS('Test Case Mapping'!$E$2:$E$600,A20,'Test Case Mapping'!$G$2:$G$600,"Yes")</f>
        <v/>
      </c>
      <c r="J20" s="8">
        <f>COUNTIFS('Test Case Mapping'!$E$2:$E$600,A20,'Test Case Mapping'!$I$2:$I$600,"Pass")</f>
        <v/>
      </c>
      <c r="K20" s="8">
        <f>COUNTIFS('Test Case Mapping'!$E$2:$E$600,A20,'Test Case Mapping'!$I$2:$I$600,"Fail")</f>
        <v/>
      </c>
      <c r="L20" s="8">
        <f>COUNTIFS('Test Case Mapping'!$E$2:$E$600,A20,'Test Case Mapping'!$I$2:$I$600,"Skipped")</f>
        <v/>
      </c>
      <c r="M20" s="8">
        <f>COUNTIFS('Test Case Mapping'!$E$2:$E$600,A20,'Test Case Mapping'!$I$2:$I$600,"Not run")</f>
        <v/>
      </c>
      <c r="N20" s="8">
        <f>IF(H20=0,"Not covered",IF(I20=H20,"Automated",IF(I20=0,"Manual only","Partly manual")))</f>
        <v/>
      </c>
      <c r="O20" s="8">
        <f>IF(H20=0,"Not run",IF(K20&gt;0,IF(J20&gt;0,"Partly failing","Fail"),IF(J20&gt;0,"Pass",IF(M20&gt;0,"Not run","Skipped"))))</f>
        <v/>
      </c>
      <c r="P20" s="8" t="inlineStr">
        <is>
          <t>DEF-01, DEF-12, DEF-14, DEF-15, DEF-16</t>
        </is>
      </c>
    </row>
    <row r="21">
      <c r="A21" s="8" t="inlineStr">
        <is>
          <t>REQ-SAL-01</t>
        </is>
      </c>
      <c r="B21" s="7" t="inlineStr">
        <is>
          <t>Report modules</t>
        </is>
      </c>
      <c r="C21" s="7" t="inlineStr">
        <is>
          <t>Sales Reports</t>
        </is>
      </c>
      <c r="D21" s="7" t="inlineStr">
        <is>
          <t>Opens from its hub card; tab bar and breadcrumb work</t>
        </is>
      </c>
      <c r="E21" s="8" t="inlineStr">
        <is>
          <t>Medium</t>
        </is>
      </c>
      <c r="F21" s="7" t="inlineStr">
        <is>
          <t>Core suite, Page tests (POM)</t>
        </is>
      </c>
      <c r="G21" s="7" t="inlineStr">
        <is>
          <t>RA-MOD-02, SAL-01, SAL-11</t>
        </is>
      </c>
      <c r="H21" s="8">
        <f>COUNTIF('Test Case Mapping'!$E$2:$E$600,A21)</f>
        <v/>
      </c>
      <c r="I21" s="8">
        <f>COUNTIFS('Test Case Mapping'!$E$2:$E$600,A21,'Test Case Mapping'!$G$2:$G$600,"Yes")</f>
        <v/>
      </c>
      <c r="J21" s="8">
        <f>COUNTIFS('Test Case Mapping'!$E$2:$E$600,A21,'Test Case Mapping'!$I$2:$I$600,"Pass")</f>
        <v/>
      </c>
      <c r="K21" s="8">
        <f>COUNTIFS('Test Case Mapping'!$E$2:$E$600,A21,'Test Case Mapping'!$I$2:$I$600,"Fail")</f>
        <v/>
      </c>
      <c r="L21" s="8">
        <f>COUNTIFS('Test Case Mapping'!$E$2:$E$600,A21,'Test Case Mapping'!$I$2:$I$600,"Skipped")</f>
        <v/>
      </c>
      <c r="M21" s="8">
        <f>COUNTIFS('Test Case Mapping'!$E$2:$E$600,A21,'Test Case Mapping'!$I$2:$I$600,"Not run")</f>
        <v/>
      </c>
      <c r="N21" s="8">
        <f>IF(H21=0,"Not covered",IF(I21=H21,"Automated",IF(I21=0,"Manual only","Partly manual")))</f>
        <v/>
      </c>
      <c r="O21" s="8">
        <f>IF(H21=0,"Not run",IF(K21&gt;0,IF(J21&gt;0,"Partly failing","Fail"),IF(J21&gt;0,"Pass",IF(M21&gt;0,"Not run","Skipped"))))</f>
        <v/>
      </c>
      <c r="P21" s="8" t="inlineStr">
        <is>
          <t>—</t>
        </is>
      </c>
    </row>
    <row r="22">
      <c r="A22" s="8" t="inlineStr">
        <is>
          <t>REQ-SAL-02</t>
        </is>
      </c>
      <c r="B22" s="7" t="inlineStr">
        <is>
          <t>Report modules</t>
        </is>
      </c>
      <c r="C22" s="7" t="inlineStr">
        <is>
          <t>Sales Reports</t>
        </is>
      </c>
      <c r="D22" s="7" t="inlineStr">
        <is>
          <t>Every KPI card and table shows valid values without errors</t>
        </is>
      </c>
      <c r="E22" s="8" t="inlineStr">
        <is>
          <t>High</t>
        </is>
      </c>
      <c r="F22" s="7" t="inlineStr">
        <is>
          <t>Core suite, Page tests (POM)</t>
        </is>
      </c>
      <c r="G22" s="7" t="inlineStr">
        <is>
          <t>RM-02, SAL-02, SAL-03</t>
        </is>
      </c>
      <c r="H22" s="8">
        <f>COUNTIF('Test Case Mapping'!$E$2:$E$600,A22)</f>
        <v/>
      </c>
      <c r="I22" s="8">
        <f>COUNTIFS('Test Case Mapping'!$E$2:$E$600,A22,'Test Case Mapping'!$G$2:$G$600,"Yes")</f>
        <v/>
      </c>
      <c r="J22" s="8">
        <f>COUNTIFS('Test Case Mapping'!$E$2:$E$600,A22,'Test Case Mapping'!$I$2:$I$600,"Pass")</f>
        <v/>
      </c>
      <c r="K22" s="8">
        <f>COUNTIFS('Test Case Mapping'!$E$2:$E$600,A22,'Test Case Mapping'!$I$2:$I$600,"Fail")</f>
        <v/>
      </c>
      <c r="L22" s="8">
        <f>COUNTIFS('Test Case Mapping'!$E$2:$E$600,A22,'Test Case Mapping'!$I$2:$I$600,"Skipped")</f>
        <v/>
      </c>
      <c r="M22" s="8">
        <f>COUNTIFS('Test Case Mapping'!$E$2:$E$600,A22,'Test Case Mapping'!$I$2:$I$600,"Not run")</f>
        <v/>
      </c>
      <c r="N22" s="8">
        <f>IF(H22=0,"Not covered",IF(I22=H22,"Automated",IF(I22=0,"Manual only","Partly manual")))</f>
        <v/>
      </c>
      <c r="O22" s="8">
        <f>IF(H22=0,"Not run",IF(K22&gt;0,IF(J22&gt;0,"Partly failing","Fail"),IF(J22&gt;0,"Pass",IF(M22&gt;0,"Not run","Skipped"))))</f>
        <v/>
      </c>
      <c r="P22" s="8" t="inlineStr">
        <is>
          <t>—</t>
        </is>
      </c>
    </row>
    <row r="23">
      <c r="A23" s="8" t="inlineStr">
        <is>
          <t>REQ-SAL-03</t>
        </is>
      </c>
      <c r="B23" s="7" t="inlineStr">
        <is>
          <t>Report modules</t>
        </is>
      </c>
      <c r="C23" s="7" t="inlineStr">
        <is>
          <t>Sales Reports</t>
        </is>
      </c>
      <c r="D23" s="7" t="inlineStr">
        <is>
          <t>Period, default period and custom dates reload the report</t>
        </is>
      </c>
      <c r="E23" s="8" t="inlineStr">
        <is>
          <t>High</t>
        </is>
      </c>
      <c r="F23" s="7" t="inlineStr">
        <is>
          <t>Page tests (POM)</t>
        </is>
      </c>
      <c r="G23" s="7" t="inlineStr">
        <is>
          <t>SAL-04…SAL-06</t>
        </is>
      </c>
      <c r="H23" s="8">
        <f>COUNTIF('Test Case Mapping'!$E$2:$E$600,A23)</f>
        <v/>
      </c>
      <c r="I23" s="8">
        <f>COUNTIFS('Test Case Mapping'!$E$2:$E$600,A23,'Test Case Mapping'!$G$2:$G$600,"Yes")</f>
        <v/>
      </c>
      <c r="J23" s="8">
        <f>COUNTIFS('Test Case Mapping'!$E$2:$E$600,A23,'Test Case Mapping'!$I$2:$I$600,"Pass")</f>
        <v/>
      </c>
      <c r="K23" s="8">
        <f>COUNTIFS('Test Case Mapping'!$E$2:$E$600,A23,'Test Case Mapping'!$I$2:$I$600,"Fail")</f>
        <v/>
      </c>
      <c r="L23" s="8">
        <f>COUNTIFS('Test Case Mapping'!$E$2:$E$600,A23,'Test Case Mapping'!$I$2:$I$600,"Skipped")</f>
        <v/>
      </c>
      <c r="M23" s="8">
        <f>COUNTIFS('Test Case Mapping'!$E$2:$E$600,A23,'Test Case Mapping'!$I$2:$I$600,"Not run")</f>
        <v/>
      </c>
      <c r="N23" s="8">
        <f>IF(H23=0,"Not covered",IF(I23=H23,"Automated",IF(I23=0,"Manual only","Partly manual")))</f>
        <v/>
      </c>
      <c r="O23" s="8">
        <f>IF(H23=0,"Not run",IF(K23&gt;0,IF(J23&gt;0,"Partly failing","Fail"),IF(J23&gt;0,"Pass",IF(M23&gt;0,"Not run","Skipped"))))</f>
        <v/>
      </c>
      <c r="P23" s="8" t="inlineStr">
        <is>
          <t>DEF-01</t>
        </is>
      </c>
    </row>
    <row r="24">
      <c r="A24" s="8" t="inlineStr">
        <is>
          <t>REQ-SAL-04</t>
        </is>
      </c>
      <c r="B24" s="7" t="inlineStr">
        <is>
          <t>Report modules</t>
        </is>
      </c>
      <c r="C24" s="7" t="inlineStr">
        <is>
          <t>Sales Reports</t>
        </is>
      </c>
      <c r="D24" s="7" t="inlineStr">
        <is>
          <t>Filters and views narrow the results (All ≥ Team ≥ Mine); Reset restores them</t>
        </is>
      </c>
      <c r="E24" s="8" t="inlineStr">
        <is>
          <t>High</t>
        </is>
      </c>
      <c r="F24" s="7" t="inlineStr">
        <is>
          <t>Page tests (POM)</t>
        </is>
      </c>
      <c r="G24" s="7" t="inlineStr">
        <is>
          <t>SAL-07…SAL-09</t>
        </is>
      </c>
      <c r="H24" s="8">
        <f>COUNTIF('Test Case Mapping'!$E$2:$E$600,A24)</f>
        <v/>
      </c>
      <c r="I24" s="8">
        <f>COUNTIFS('Test Case Mapping'!$E$2:$E$600,A24,'Test Case Mapping'!$G$2:$G$600,"Yes")</f>
        <v/>
      </c>
      <c r="J24" s="8">
        <f>COUNTIFS('Test Case Mapping'!$E$2:$E$600,A24,'Test Case Mapping'!$I$2:$I$600,"Pass")</f>
        <v/>
      </c>
      <c r="K24" s="8">
        <f>COUNTIFS('Test Case Mapping'!$E$2:$E$600,A24,'Test Case Mapping'!$I$2:$I$600,"Fail")</f>
        <v/>
      </c>
      <c r="L24" s="8">
        <f>COUNTIFS('Test Case Mapping'!$E$2:$E$600,A24,'Test Case Mapping'!$I$2:$I$600,"Skipped")</f>
        <v/>
      </c>
      <c r="M24" s="8">
        <f>COUNTIFS('Test Case Mapping'!$E$2:$E$600,A24,'Test Case Mapping'!$I$2:$I$600,"Not run")</f>
        <v/>
      </c>
      <c r="N24" s="8">
        <f>IF(H24=0,"Not covered",IF(I24=H24,"Automated",IF(I24=0,"Manual only","Partly manual")))</f>
        <v/>
      </c>
      <c r="O24" s="8">
        <f>IF(H24=0,"Not run",IF(K24&gt;0,IF(J24&gt;0,"Partly failing","Fail"),IF(J24&gt;0,"Pass",IF(M24&gt;0,"Not run","Skipped"))))</f>
        <v/>
      </c>
      <c r="P24" s="8" t="inlineStr">
        <is>
          <t>—</t>
        </is>
      </c>
    </row>
    <row r="25">
      <c r="A25" s="8" t="inlineStr">
        <is>
          <t>REQ-SAL-05</t>
        </is>
      </c>
      <c r="B25" s="7" t="inlineStr">
        <is>
          <t>Report modules</t>
        </is>
      </c>
      <c r="C25" s="7" t="inlineStr">
        <is>
          <t>Sales Reports</t>
        </is>
      </c>
      <c r="D25" s="7" t="inlineStr">
        <is>
          <t>Panel exports match the tables on screen</t>
        </is>
      </c>
      <c r="E25" s="8" t="inlineStr">
        <is>
          <t>Medium</t>
        </is>
      </c>
      <c r="F25" s="7" t="inlineStr">
        <is>
          <t>Page tests (POM)</t>
        </is>
      </c>
      <c r="G25" s="7" t="inlineStr">
        <is>
          <t>SAL-10</t>
        </is>
      </c>
      <c r="H25" s="8">
        <f>COUNTIF('Test Case Mapping'!$E$2:$E$600,A25)</f>
        <v/>
      </c>
      <c r="I25" s="8">
        <f>COUNTIFS('Test Case Mapping'!$E$2:$E$600,A25,'Test Case Mapping'!$G$2:$G$600,"Yes")</f>
        <v/>
      </c>
      <c r="J25" s="8">
        <f>COUNTIFS('Test Case Mapping'!$E$2:$E$600,A25,'Test Case Mapping'!$I$2:$I$600,"Pass")</f>
        <v/>
      </c>
      <c r="K25" s="8">
        <f>COUNTIFS('Test Case Mapping'!$E$2:$E$600,A25,'Test Case Mapping'!$I$2:$I$600,"Fail")</f>
        <v/>
      </c>
      <c r="L25" s="8">
        <f>COUNTIFS('Test Case Mapping'!$E$2:$E$600,A25,'Test Case Mapping'!$I$2:$I$600,"Skipped")</f>
        <v/>
      </c>
      <c r="M25" s="8">
        <f>COUNTIFS('Test Case Mapping'!$E$2:$E$600,A25,'Test Case Mapping'!$I$2:$I$600,"Not run")</f>
        <v/>
      </c>
      <c r="N25" s="8">
        <f>IF(H25=0,"Not covered",IF(I25=H25,"Automated",IF(I25=0,"Manual only","Partly manual")))</f>
        <v/>
      </c>
      <c r="O25" s="8">
        <f>IF(H25=0,"Not run",IF(K25&gt;0,IF(J25&gt;0,"Partly failing","Fail"),IF(J25&gt;0,"Pass",IF(M25&gt;0,"Not run","Skipped"))))</f>
        <v/>
      </c>
      <c r="P25" s="8" t="inlineStr">
        <is>
          <t>—</t>
        </is>
      </c>
    </row>
    <row r="26">
      <c r="A26" s="8" t="inlineStr">
        <is>
          <t>REQ-SAL-06</t>
        </is>
      </c>
      <c r="B26" s="7" t="inlineStr">
        <is>
          <t>Report modules</t>
        </is>
      </c>
      <c r="C26" s="7" t="inlineStr">
        <is>
          <t>Sales Reports</t>
        </is>
      </c>
      <c r="D26" s="7" t="inlineStr">
        <is>
          <t>Page calculations: tables add up to the KPIs, rates and averages are correct</t>
        </is>
      </c>
      <c r="E26" s="8" t="inlineStr">
        <is>
          <t>High</t>
        </is>
      </c>
      <c r="F26" s="7" t="inlineStr">
        <is>
          <t>Core suite, Page tests (POM)</t>
        </is>
      </c>
      <c r="G26" s="7" t="inlineStr">
        <is>
          <t>M-08, SAL-12…SAL-16</t>
        </is>
      </c>
      <c r="H26" s="8">
        <f>COUNTIF('Test Case Mapping'!$E$2:$E$600,A26)</f>
        <v/>
      </c>
      <c r="I26" s="8">
        <f>COUNTIFS('Test Case Mapping'!$E$2:$E$600,A26,'Test Case Mapping'!$G$2:$G$600,"Yes")</f>
        <v/>
      </c>
      <c r="J26" s="8">
        <f>COUNTIFS('Test Case Mapping'!$E$2:$E$600,A26,'Test Case Mapping'!$I$2:$I$600,"Pass")</f>
        <v/>
      </c>
      <c r="K26" s="8">
        <f>COUNTIFS('Test Case Mapping'!$E$2:$E$600,A26,'Test Case Mapping'!$I$2:$I$600,"Fail")</f>
        <v/>
      </c>
      <c r="L26" s="8">
        <f>COUNTIFS('Test Case Mapping'!$E$2:$E$600,A26,'Test Case Mapping'!$I$2:$I$600,"Skipped")</f>
        <v/>
      </c>
      <c r="M26" s="8">
        <f>COUNTIFS('Test Case Mapping'!$E$2:$E$600,A26,'Test Case Mapping'!$I$2:$I$600,"Not run")</f>
        <v/>
      </c>
      <c r="N26" s="8">
        <f>IF(H26=0,"Not covered",IF(I26=H26,"Automated",IF(I26=0,"Manual only","Partly manual")))</f>
        <v/>
      </c>
      <c r="O26" s="8">
        <f>IF(H26=0,"Not run",IF(K26&gt;0,IF(J26&gt;0,"Partly failing","Fail"),IF(J26&gt;0,"Pass",IF(M26&gt;0,"Not run","Skipped"))))</f>
        <v/>
      </c>
      <c r="P26" s="8" t="inlineStr">
        <is>
          <t>—</t>
        </is>
      </c>
    </row>
    <row r="27">
      <c r="A27" s="8" t="inlineStr">
        <is>
          <t>REQ-INV-01</t>
        </is>
      </c>
      <c r="B27" s="7" t="inlineStr">
        <is>
          <t>Report modules</t>
        </is>
      </c>
      <c r="C27" s="7" t="inlineStr">
        <is>
          <t>Inventory Reports</t>
        </is>
      </c>
      <c r="D27" s="7" t="inlineStr">
        <is>
          <t>Opens from its hub card; tab bar and breadcrumb work</t>
        </is>
      </c>
      <c r="E27" s="8" t="inlineStr">
        <is>
          <t>Medium</t>
        </is>
      </c>
      <c r="F27" s="7" t="inlineStr">
        <is>
          <t>Core suite, Page tests (POM)</t>
        </is>
      </c>
      <c r="G27" s="7" t="inlineStr">
        <is>
          <t>INV-01, INV-11, RA-MOD-03</t>
        </is>
      </c>
      <c r="H27" s="8">
        <f>COUNTIF('Test Case Mapping'!$E$2:$E$600,A27)</f>
        <v/>
      </c>
      <c r="I27" s="8">
        <f>COUNTIFS('Test Case Mapping'!$E$2:$E$600,A27,'Test Case Mapping'!$G$2:$G$600,"Yes")</f>
        <v/>
      </c>
      <c r="J27" s="8">
        <f>COUNTIFS('Test Case Mapping'!$E$2:$E$600,A27,'Test Case Mapping'!$I$2:$I$600,"Pass")</f>
        <v/>
      </c>
      <c r="K27" s="8">
        <f>COUNTIFS('Test Case Mapping'!$E$2:$E$600,A27,'Test Case Mapping'!$I$2:$I$600,"Fail")</f>
        <v/>
      </c>
      <c r="L27" s="8">
        <f>COUNTIFS('Test Case Mapping'!$E$2:$E$600,A27,'Test Case Mapping'!$I$2:$I$600,"Skipped")</f>
        <v/>
      </c>
      <c r="M27" s="8">
        <f>COUNTIFS('Test Case Mapping'!$E$2:$E$600,A27,'Test Case Mapping'!$I$2:$I$600,"Not run")</f>
        <v/>
      </c>
      <c r="N27" s="8">
        <f>IF(H27=0,"Not covered",IF(I27=H27,"Automated",IF(I27=0,"Manual only","Partly manual")))</f>
        <v/>
      </c>
      <c r="O27" s="8">
        <f>IF(H27=0,"Not run",IF(K27&gt;0,IF(J27&gt;0,"Partly failing","Fail"),IF(J27&gt;0,"Pass",IF(M27&gt;0,"Not run","Skipped"))))</f>
        <v/>
      </c>
      <c r="P27" s="8" t="inlineStr">
        <is>
          <t>—</t>
        </is>
      </c>
    </row>
    <row r="28">
      <c r="A28" s="8" t="inlineStr">
        <is>
          <t>REQ-INV-02</t>
        </is>
      </c>
      <c r="B28" s="7" t="inlineStr">
        <is>
          <t>Report modules</t>
        </is>
      </c>
      <c r="C28" s="7" t="inlineStr">
        <is>
          <t>Inventory Reports</t>
        </is>
      </c>
      <c r="D28" s="7" t="inlineStr">
        <is>
          <t>Every KPI card and table shows valid values without errors</t>
        </is>
      </c>
      <c r="E28" s="8" t="inlineStr">
        <is>
          <t>High</t>
        </is>
      </c>
      <c r="F28" s="7" t="inlineStr">
        <is>
          <t>Core suite, Page tests (POM)</t>
        </is>
      </c>
      <c r="G28" s="7" t="inlineStr">
        <is>
          <t>INV-02, INV-03, RM-03</t>
        </is>
      </c>
      <c r="H28" s="8">
        <f>COUNTIF('Test Case Mapping'!$E$2:$E$600,A28)</f>
        <v/>
      </c>
      <c r="I28" s="8">
        <f>COUNTIFS('Test Case Mapping'!$E$2:$E$600,A28,'Test Case Mapping'!$G$2:$G$600,"Yes")</f>
        <v/>
      </c>
      <c r="J28" s="8">
        <f>COUNTIFS('Test Case Mapping'!$E$2:$E$600,A28,'Test Case Mapping'!$I$2:$I$600,"Pass")</f>
        <v/>
      </c>
      <c r="K28" s="8">
        <f>COUNTIFS('Test Case Mapping'!$E$2:$E$600,A28,'Test Case Mapping'!$I$2:$I$600,"Fail")</f>
        <v/>
      </c>
      <c r="L28" s="8">
        <f>COUNTIFS('Test Case Mapping'!$E$2:$E$600,A28,'Test Case Mapping'!$I$2:$I$600,"Skipped")</f>
        <v/>
      </c>
      <c r="M28" s="8">
        <f>COUNTIFS('Test Case Mapping'!$E$2:$E$600,A28,'Test Case Mapping'!$I$2:$I$600,"Not run")</f>
        <v/>
      </c>
      <c r="N28" s="8">
        <f>IF(H28=0,"Not covered",IF(I28=H28,"Automated",IF(I28=0,"Manual only","Partly manual")))</f>
        <v/>
      </c>
      <c r="O28" s="8">
        <f>IF(H28=0,"Not run",IF(K28&gt;0,IF(J28&gt;0,"Partly failing","Fail"),IF(J28&gt;0,"Pass",IF(M28&gt;0,"Not run","Skipped"))))</f>
        <v/>
      </c>
      <c r="P28" s="8" t="inlineStr">
        <is>
          <t>—</t>
        </is>
      </c>
    </row>
    <row r="29">
      <c r="A29" s="8" t="inlineStr">
        <is>
          <t>REQ-INV-03</t>
        </is>
      </c>
      <c r="B29" s="7" t="inlineStr">
        <is>
          <t>Report modules</t>
        </is>
      </c>
      <c r="C29" s="7" t="inlineStr">
        <is>
          <t>Inventory Reports</t>
        </is>
      </c>
      <c r="D29" s="7" t="inlineStr">
        <is>
          <t>Period, default period and custom dates reload the report</t>
        </is>
      </c>
      <c r="E29" s="8" t="inlineStr">
        <is>
          <t>High</t>
        </is>
      </c>
      <c r="F29" s="7" t="inlineStr">
        <is>
          <t>Page tests (POM)</t>
        </is>
      </c>
      <c r="G29" s="7" t="inlineStr">
        <is>
          <t>INV-04…INV-06</t>
        </is>
      </c>
      <c r="H29" s="8">
        <f>COUNTIF('Test Case Mapping'!$E$2:$E$600,A29)</f>
        <v/>
      </c>
      <c r="I29" s="8">
        <f>COUNTIFS('Test Case Mapping'!$E$2:$E$600,A29,'Test Case Mapping'!$G$2:$G$600,"Yes")</f>
        <v/>
      </c>
      <c r="J29" s="8">
        <f>COUNTIFS('Test Case Mapping'!$E$2:$E$600,A29,'Test Case Mapping'!$I$2:$I$600,"Pass")</f>
        <v/>
      </c>
      <c r="K29" s="8">
        <f>COUNTIFS('Test Case Mapping'!$E$2:$E$600,A29,'Test Case Mapping'!$I$2:$I$600,"Fail")</f>
        <v/>
      </c>
      <c r="L29" s="8">
        <f>COUNTIFS('Test Case Mapping'!$E$2:$E$600,A29,'Test Case Mapping'!$I$2:$I$600,"Skipped")</f>
        <v/>
      </c>
      <c r="M29" s="8">
        <f>COUNTIFS('Test Case Mapping'!$E$2:$E$600,A29,'Test Case Mapping'!$I$2:$I$600,"Not run")</f>
        <v/>
      </c>
      <c r="N29" s="8">
        <f>IF(H29=0,"Not covered",IF(I29=H29,"Automated",IF(I29=0,"Manual only","Partly manual")))</f>
        <v/>
      </c>
      <c r="O29" s="8">
        <f>IF(H29=0,"Not run",IF(K29&gt;0,IF(J29&gt;0,"Partly failing","Fail"),IF(J29&gt;0,"Pass",IF(M29&gt;0,"Not run","Skipped"))))</f>
        <v/>
      </c>
      <c r="P29" s="8" t="inlineStr">
        <is>
          <t>DEF-01</t>
        </is>
      </c>
    </row>
    <row r="30">
      <c r="A30" s="8" t="inlineStr">
        <is>
          <t>REQ-INV-04</t>
        </is>
      </c>
      <c r="B30" s="7" t="inlineStr">
        <is>
          <t>Report modules</t>
        </is>
      </c>
      <c r="C30" s="7" t="inlineStr">
        <is>
          <t>Inventory Reports</t>
        </is>
      </c>
      <c r="D30" s="7" t="inlineStr">
        <is>
          <t>Filters and views narrow the results (All ≥ Team ≥ Mine); Reset restores them</t>
        </is>
      </c>
      <c r="E30" s="8" t="inlineStr">
        <is>
          <t>High</t>
        </is>
      </c>
      <c r="F30" s="7" t="inlineStr">
        <is>
          <t>Page tests (POM)</t>
        </is>
      </c>
      <c r="G30" s="7" t="inlineStr">
        <is>
          <t>INV-07…INV-09</t>
        </is>
      </c>
      <c r="H30" s="8">
        <f>COUNTIF('Test Case Mapping'!$E$2:$E$600,A30)</f>
        <v/>
      </c>
      <c r="I30" s="8">
        <f>COUNTIFS('Test Case Mapping'!$E$2:$E$600,A30,'Test Case Mapping'!$G$2:$G$600,"Yes")</f>
        <v/>
      </c>
      <c r="J30" s="8">
        <f>COUNTIFS('Test Case Mapping'!$E$2:$E$600,A30,'Test Case Mapping'!$I$2:$I$600,"Pass")</f>
        <v/>
      </c>
      <c r="K30" s="8">
        <f>COUNTIFS('Test Case Mapping'!$E$2:$E$600,A30,'Test Case Mapping'!$I$2:$I$600,"Fail")</f>
        <v/>
      </c>
      <c r="L30" s="8">
        <f>COUNTIFS('Test Case Mapping'!$E$2:$E$600,A30,'Test Case Mapping'!$I$2:$I$600,"Skipped")</f>
        <v/>
      </c>
      <c r="M30" s="8">
        <f>COUNTIFS('Test Case Mapping'!$E$2:$E$600,A30,'Test Case Mapping'!$I$2:$I$600,"Not run")</f>
        <v/>
      </c>
      <c r="N30" s="8">
        <f>IF(H30=0,"Not covered",IF(I30=H30,"Automated",IF(I30=0,"Manual only","Partly manual")))</f>
        <v/>
      </c>
      <c r="O30" s="8">
        <f>IF(H30=0,"Not run",IF(K30&gt;0,IF(J30&gt;0,"Partly failing","Fail"),IF(J30&gt;0,"Pass",IF(M30&gt;0,"Not run","Skipped"))))</f>
        <v/>
      </c>
      <c r="P30" s="8" t="inlineStr">
        <is>
          <t>—</t>
        </is>
      </c>
    </row>
    <row r="31">
      <c r="A31" s="8" t="inlineStr">
        <is>
          <t>REQ-INV-05</t>
        </is>
      </c>
      <c r="B31" s="7" t="inlineStr">
        <is>
          <t>Report modules</t>
        </is>
      </c>
      <c r="C31" s="7" t="inlineStr">
        <is>
          <t>Inventory Reports</t>
        </is>
      </c>
      <c r="D31" s="7" t="inlineStr">
        <is>
          <t>Panel exports match the tables on screen</t>
        </is>
      </c>
      <c r="E31" s="8" t="inlineStr">
        <is>
          <t>Medium</t>
        </is>
      </c>
      <c r="F31" s="7" t="inlineStr">
        <is>
          <t>Page tests (POM)</t>
        </is>
      </c>
      <c r="G31" s="7" t="inlineStr">
        <is>
          <t>INV-10</t>
        </is>
      </c>
      <c r="H31" s="8">
        <f>COUNTIF('Test Case Mapping'!$E$2:$E$600,A31)</f>
        <v/>
      </c>
      <c r="I31" s="8">
        <f>COUNTIFS('Test Case Mapping'!$E$2:$E$600,A31,'Test Case Mapping'!$G$2:$G$600,"Yes")</f>
        <v/>
      </c>
      <c r="J31" s="8">
        <f>COUNTIFS('Test Case Mapping'!$E$2:$E$600,A31,'Test Case Mapping'!$I$2:$I$600,"Pass")</f>
        <v/>
      </c>
      <c r="K31" s="8">
        <f>COUNTIFS('Test Case Mapping'!$E$2:$E$600,A31,'Test Case Mapping'!$I$2:$I$600,"Fail")</f>
        <v/>
      </c>
      <c r="L31" s="8">
        <f>COUNTIFS('Test Case Mapping'!$E$2:$E$600,A31,'Test Case Mapping'!$I$2:$I$600,"Skipped")</f>
        <v/>
      </c>
      <c r="M31" s="8">
        <f>COUNTIFS('Test Case Mapping'!$E$2:$E$600,A31,'Test Case Mapping'!$I$2:$I$600,"Not run")</f>
        <v/>
      </c>
      <c r="N31" s="8">
        <f>IF(H31=0,"Not covered",IF(I31=H31,"Automated",IF(I31=0,"Manual only","Partly manual")))</f>
        <v/>
      </c>
      <c r="O31" s="8">
        <f>IF(H31=0,"Not run",IF(K31&gt;0,IF(J31&gt;0,"Partly failing","Fail"),IF(J31&gt;0,"Pass",IF(M31&gt;0,"Not run","Skipped"))))</f>
        <v/>
      </c>
      <c r="P31" s="8" t="inlineStr">
        <is>
          <t>—</t>
        </is>
      </c>
    </row>
    <row r="32">
      <c r="A32" s="8" t="inlineStr">
        <is>
          <t>REQ-INV-06</t>
        </is>
      </c>
      <c r="B32" s="7" t="inlineStr">
        <is>
          <t>Report modules</t>
        </is>
      </c>
      <c r="C32" s="7" t="inlineStr">
        <is>
          <t>Inventory Reports</t>
        </is>
      </c>
      <c r="D32" s="7" t="inlineStr">
        <is>
          <t>Page calculations: tables add up to the KPIs, rates and averages are correct</t>
        </is>
      </c>
      <c r="E32" s="8" t="inlineStr">
        <is>
          <t>High</t>
        </is>
      </c>
      <c r="F32" s="7" t="inlineStr">
        <is>
          <t>Core suite, Page tests (POM)</t>
        </is>
      </c>
      <c r="G32" s="7" t="inlineStr">
        <is>
          <t>INV-12…INV-15, M-02</t>
        </is>
      </c>
      <c r="H32" s="8">
        <f>COUNTIF('Test Case Mapping'!$E$2:$E$600,A32)</f>
        <v/>
      </c>
      <c r="I32" s="8">
        <f>COUNTIFS('Test Case Mapping'!$E$2:$E$600,A32,'Test Case Mapping'!$G$2:$G$600,"Yes")</f>
        <v/>
      </c>
      <c r="J32" s="8">
        <f>COUNTIFS('Test Case Mapping'!$E$2:$E$600,A32,'Test Case Mapping'!$I$2:$I$600,"Pass")</f>
        <v/>
      </c>
      <c r="K32" s="8">
        <f>COUNTIFS('Test Case Mapping'!$E$2:$E$600,A32,'Test Case Mapping'!$I$2:$I$600,"Fail")</f>
        <v/>
      </c>
      <c r="L32" s="8">
        <f>COUNTIFS('Test Case Mapping'!$E$2:$E$600,A32,'Test Case Mapping'!$I$2:$I$600,"Skipped")</f>
        <v/>
      </c>
      <c r="M32" s="8">
        <f>COUNTIFS('Test Case Mapping'!$E$2:$E$600,A32,'Test Case Mapping'!$I$2:$I$600,"Not run")</f>
        <v/>
      </c>
      <c r="N32" s="8">
        <f>IF(H32=0,"Not covered",IF(I32=H32,"Automated",IF(I32=0,"Manual only","Partly manual")))</f>
        <v/>
      </c>
      <c r="O32" s="8">
        <f>IF(H32=0,"Not run",IF(K32&gt;0,IF(J32&gt;0,"Partly failing","Fail"),IF(J32&gt;0,"Pass",IF(M32&gt;0,"Not run","Skipped"))))</f>
        <v/>
      </c>
      <c r="P32" s="8" t="inlineStr">
        <is>
          <t>DEF-09</t>
        </is>
      </c>
    </row>
    <row r="33">
      <c r="A33" s="8" t="inlineStr">
        <is>
          <t>REQ-CUS-01</t>
        </is>
      </c>
      <c r="B33" s="7" t="inlineStr">
        <is>
          <t>Report modules</t>
        </is>
      </c>
      <c r="C33" s="7" t="inlineStr">
        <is>
          <t>Customer Reports</t>
        </is>
      </c>
      <c r="D33" s="7" t="inlineStr">
        <is>
          <t>Opens from its hub card; tab bar and breadcrumb work</t>
        </is>
      </c>
      <c r="E33" s="8" t="inlineStr">
        <is>
          <t>Medium</t>
        </is>
      </c>
      <c r="F33" s="7" t="inlineStr">
        <is>
          <t>Core suite, Page tests (POM)</t>
        </is>
      </c>
      <c r="G33" s="7" t="inlineStr">
        <is>
          <t>CUS-01, CUS-11, RA-MOD-04</t>
        </is>
      </c>
      <c r="H33" s="8">
        <f>COUNTIF('Test Case Mapping'!$E$2:$E$600,A33)</f>
        <v/>
      </c>
      <c r="I33" s="8">
        <f>COUNTIFS('Test Case Mapping'!$E$2:$E$600,A33,'Test Case Mapping'!$G$2:$G$600,"Yes")</f>
        <v/>
      </c>
      <c r="J33" s="8">
        <f>COUNTIFS('Test Case Mapping'!$E$2:$E$600,A33,'Test Case Mapping'!$I$2:$I$600,"Pass")</f>
        <v/>
      </c>
      <c r="K33" s="8">
        <f>COUNTIFS('Test Case Mapping'!$E$2:$E$600,A33,'Test Case Mapping'!$I$2:$I$600,"Fail")</f>
        <v/>
      </c>
      <c r="L33" s="8">
        <f>COUNTIFS('Test Case Mapping'!$E$2:$E$600,A33,'Test Case Mapping'!$I$2:$I$600,"Skipped")</f>
        <v/>
      </c>
      <c r="M33" s="8">
        <f>COUNTIFS('Test Case Mapping'!$E$2:$E$600,A33,'Test Case Mapping'!$I$2:$I$600,"Not run")</f>
        <v/>
      </c>
      <c r="N33" s="8">
        <f>IF(H33=0,"Not covered",IF(I33=H33,"Automated",IF(I33=0,"Manual only","Partly manual")))</f>
        <v/>
      </c>
      <c r="O33" s="8">
        <f>IF(H33=0,"Not run",IF(K33&gt;0,IF(J33&gt;0,"Partly failing","Fail"),IF(J33&gt;0,"Pass",IF(M33&gt;0,"Not run","Skipped"))))</f>
        <v/>
      </c>
      <c r="P33" s="8" t="inlineStr">
        <is>
          <t>—</t>
        </is>
      </c>
    </row>
    <row r="34">
      <c r="A34" s="8" t="inlineStr">
        <is>
          <t>REQ-CUS-02</t>
        </is>
      </c>
      <c r="B34" s="7" t="inlineStr">
        <is>
          <t>Report modules</t>
        </is>
      </c>
      <c r="C34" s="7" t="inlineStr">
        <is>
          <t>Customer Reports</t>
        </is>
      </c>
      <c r="D34" s="7" t="inlineStr">
        <is>
          <t>Every KPI card and table shows valid values without errors</t>
        </is>
      </c>
      <c r="E34" s="8" t="inlineStr">
        <is>
          <t>High</t>
        </is>
      </c>
      <c r="F34" s="7" t="inlineStr">
        <is>
          <t>Core suite, Page tests (POM)</t>
        </is>
      </c>
      <c r="G34" s="7" t="inlineStr">
        <is>
          <t>CUS-02, CUS-03, RM-04</t>
        </is>
      </c>
      <c r="H34" s="8">
        <f>COUNTIF('Test Case Mapping'!$E$2:$E$600,A34)</f>
        <v/>
      </c>
      <c r="I34" s="8">
        <f>COUNTIFS('Test Case Mapping'!$E$2:$E$600,A34,'Test Case Mapping'!$G$2:$G$600,"Yes")</f>
        <v/>
      </c>
      <c r="J34" s="8">
        <f>COUNTIFS('Test Case Mapping'!$E$2:$E$600,A34,'Test Case Mapping'!$I$2:$I$600,"Pass")</f>
        <v/>
      </c>
      <c r="K34" s="8">
        <f>COUNTIFS('Test Case Mapping'!$E$2:$E$600,A34,'Test Case Mapping'!$I$2:$I$600,"Fail")</f>
        <v/>
      </c>
      <c r="L34" s="8">
        <f>COUNTIFS('Test Case Mapping'!$E$2:$E$600,A34,'Test Case Mapping'!$I$2:$I$600,"Skipped")</f>
        <v/>
      </c>
      <c r="M34" s="8">
        <f>COUNTIFS('Test Case Mapping'!$E$2:$E$600,A34,'Test Case Mapping'!$I$2:$I$600,"Not run")</f>
        <v/>
      </c>
      <c r="N34" s="8">
        <f>IF(H34=0,"Not covered",IF(I34=H34,"Automated",IF(I34=0,"Manual only","Partly manual")))</f>
        <v/>
      </c>
      <c r="O34" s="8">
        <f>IF(H34=0,"Not run",IF(K34&gt;0,IF(J34&gt;0,"Partly failing","Fail"),IF(J34&gt;0,"Pass",IF(M34&gt;0,"Not run","Skipped"))))</f>
        <v/>
      </c>
      <c r="P34" s="8" t="inlineStr">
        <is>
          <t>—</t>
        </is>
      </c>
    </row>
    <row r="35">
      <c r="A35" s="8" t="inlineStr">
        <is>
          <t>REQ-CUS-03</t>
        </is>
      </c>
      <c r="B35" s="7" t="inlineStr">
        <is>
          <t>Report modules</t>
        </is>
      </c>
      <c r="C35" s="7" t="inlineStr">
        <is>
          <t>Customer Reports</t>
        </is>
      </c>
      <c r="D35" s="7" t="inlineStr">
        <is>
          <t>Period, default period and custom dates reload the report</t>
        </is>
      </c>
      <c r="E35" s="8" t="inlineStr">
        <is>
          <t>High</t>
        </is>
      </c>
      <c r="F35" s="7" t="inlineStr">
        <is>
          <t>Page tests (POM)</t>
        </is>
      </c>
      <c r="G35" s="7" t="inlineStr">
        <is>
          <t>CUS-04…CUS-06</t>
        </is>
      </c>
      <c r="H35" s="8">
        <f>COUNTIF('Test Case Mapping'!$E$2:$E$600,A35)</f>
        <v/>
      </c>
      <c r="I35" s="8">
        <f>COUNTIFS('Test Case Mapping'!$E$2:$E$600,A35,'Test Case Mapping'!$G$2:$G$600,"Yes")</f>
        <v/>
      </c>
      <c r="J35" s="8">
        <f>COUNTIFS('Test Case Mapping'!$E$2:$E$600,A35,'Test Case Mapping'!$I$2:$I$600,"Pass")</f>
        <v/>
      </c>
      <c r="K35" s="8">
        <f>COUNTIFS('Test Case Mapping'!$E$2:$E$600,A35,'Test Case Mapping'!$I$2:$I$600,"Fail")</f>
        <v/>
      </c>
      <c r="L35" s="8">
        <f>COUNTIFS('Test Case Mapping'!$E$2:$E$600,A35,'Test Case Mapping'!$I$2:$I$600,"Skipped")</f>
        <v/>
      </c>
      <c r="M35" s="8">
        <f>COUNTIFS('Test Case Mapping'!$E$2:$E$600,A35,'Test Case Mapping'!$I$2:$I$600,"Not run")</f>
        <v/>
      </c>
      <c r="N35" s="8">
        <f>IF(H35=0,"Not covered",IF(I35=H35,"Automated",IF(I35=0,"Manual only","Partly manual")))</f>
        <v/>
      </c>
      <c r="O35" s="8">
        <f>IF(H35=0,"Not run",IF(K35&gt;0,IF(J35&gt;0,"Partly failing","Fail"),IF(J35&gt;0,"Pass",IF(M35&gt;0,"Not run","Skipped"))))</f>
        <v/>
      </c>
      <c r="P35" s="8" t="inlineStr">
        <is>
          <t>DEF-01</t>
        </is>
      </c>
    </row>
    <row r="36">
      <c r="A36" s="8" t="inlineStr">
        <is>
          <t>REQ-CUS-04</t>
        </is>
      </c>
      <c r="B36" s="7" t="inlineStr">
        <is>
          <t>Report modules</t>
        </is>
      </c>
      <c r="C36" s="7" t="inlineStr">
        <is>
          <t>Customer Reports</t>
        </is>
      </c>
      <c r="D36" s="7" t="inlineStr">
        <is>
          <t>Filters and views narrow the results (All ≥ Team ≥ Mine); Reset restores them</t>
        </is>
      </c>
      <c r="E36" s="8" t="inlineStr">
        <is>
          <t>High</t>
        </is>
      </c>
      <c r="F36" s="7" t="inlineStr">
        <is>
          <t>Page tests (POM)</t>
        </is>
      </c>
      <c r="G36" s="7" t="inlineStr">
        <is>
          <t>CUS-07…CUS-09</t>
        </is>
      </c>
      <c r="H36" s="8">
        <f>COUNTIF('Test Case Mapping'!$E$2:$E$600,A36)</f>
        <v/>
      </c>
      <c r="I36" s="8">
        <f>COUNTIFS('Test Case Mapping'!$E$2:$E$600,A36,'Test Case Mapping'!$G$2:$G$600,"Yes")</f>
        <v/>
      </c>
      <c r="J36" s="8">
        <f>COUNTIFS('Test Case Mapping'!$E$2:$E$600,A36,'Test Case Mapping'!$I$2:$I$600,"Pass")</f>
        <v/>
      </c>
      <c r="K36" s="8">
        <f>COUNTIFS('Test Case Mapping'!$E$2:$E$600,A36,'Test Case Mapping'!$I$2:$I$600,"Fail")</f>
        <v/>
      </c>
      <c r="L36" s="8">
        <f>COUNTIFS('Test Case Mapping'!$E$2:$E$600,A36,'Test Case Mapping'!$I$2:$I$600,"Skipped")</f>
        <v/>
      </c>
      <c r="M36" s="8">
        <f>COUNTIFS('Test Case Mapping'!$E$2:$E$600,A36,'Test Case Mapping'!$I$2:$I$600,"Not run")</f>
        <v/>
      </c>
      <c r="N36" s="8">
        <f>IF(H36=0,"Not covered",IF(I36=H36,"Automated",IF(I36=0,"Manual only","Partly manual")))</f>
        <v/>
      </c>
      <c r="O36" s="8">
        <f>IF(H36=0,"Not run",IF(K36&gt;0,IF(J36&gt;0,"Partly failing","Fail"),IF(J36&gt;0,"Pass",IF(M36&gt;0,"Not run","Skipped"))))</f>
        <v/>
      </c>
      <c r="P36" s="8" t="inlineStr">
        <is>
          <t>—</t>
        </is>
      </c>
    </row>
    <row r="37">
      <c r="A37" s="8" t="inlineStr">
        <is>
          <t>REQ-CUS-05</t>
        </is>
      </c>
      <c r="B37" s="7" t="inlineStr">
        <is>
          <t>Report modules</t>
        </is>
      </c>
      <c r="C37" s="7" t="inlineStr">
        <is>
          <t>Customer Reports</t>
        </is>
      </c>
      <c r="D37" s="7" t="inlineStr">
        <is>
          <t>Panel exports match the tables on screen</t>
        </is>
      </c>
      <c r="E37" s="8" t="inlineStr">
        <is>
          <t>Medium</t>
        </is>
      </c>
      <c r="F37" s="7" t="inlineStr">
        <is>
          <t>Page tests (POM)</t>
        </is>
      </c>
      <c r="G37" s="7" t="inlineStr">
        <is>
          <t>CUS-10</t>
        </is>
      </c>
      <c r="H37" s="8">
        <f>COUNTIF('Test Case Mapping'!$E$2:$E$600,A37)</f>
        <v/>
      </c>
      <c r="I37" s="8">
        <f>COUNTIFS('Test Case Mapping'!$E$2:$E$600,A37,'Test Case Mapping'!$G$2:$G$600,"Yes")</f>
        <v/>
      </c>
      <c r="J37" s="8">
        <f>COUNTIFS('Test Case Mapping'!$E$2:$E$600,A37,'Test Case Mapping'!$I$2:$I$600,"Pass")</f>
        <v/>
      </c>
      <c r="K37" s="8">
        <f>COUNTIFS('Test Case Mapping'!$E$2:$E$600,A37,'Test Case Mapping'!$I$2:$I$600,"Fail")</f>
        <v/>
      </c>
      <c r="L37" s="8">
        <f>COUNTIFS('Test Case Mapping'!$E$2:$E$600,A37,'Test Case Mapping'!$I$2:$I$600,"Skipped")</f>
        <v/>
      </c>
      <c r="M37" s="8">
        <f>COUNTIFS('Test Case Mapping'!$E$2:$E$600,A37,'Test Case Mapping'!$I$2:$I$600,"Not run")</f>
        <v/>
      </c>
      <c r="N37" s="8">
        <f>IF(H37=0,"Not covered",IF(I37=H37,"Automated",IF(I37=0,"Manual only","Partly manual")))</f>
        <v/>
      </c>
      <c r="O37" s="8">
        <f>IF(H37=0,"Not run",IF(K37&gt;0,IF(J37&gt;0,"Partly failing","Fail"),IF(J37&gt;0,"Pass",IF(M37&gt;0,"Not run","Skipped"))))</f>
        <v/>
      </c>
      <c r="P37" s="8" t="inlineStr">
        <is>
          <t>—</t>
        </is>
      </c>
    </row>
    <row r="38">
      <c r="A38" s="8" t="inlineStr">
        <is>
          <t>REQ-CUS-06</t>
        </is>
      </c>
      <c r="B38" s="7" t="inlineStr">
        <is>
          <t>Report modules</t>
        </is>
      </c>
      <c r="C38" s="7" t="inlineStr">
        <is>
          <t>Customer Reports</t>
        </is>
      </c>
      <c r="D38" s="7" t="inlineStr">
        <is>
          <t>Page calculations: tables add up to the KPIs, rates and averages are correct</t>
        </is>
      </c>
      <c r="E38" s="8" t="inlineStr">
        <is>
          <t>High</t>
        </is>
      </c>
      <c r="F38" s="7" t="inlineStr">
        <is>
          <t>Page tests (POM)</t>
        </is>
      </c>
      <c r="G38" s="7" t="inlineStr">
        <is>
          <t>CUS-12…CUS-14</t>
        </is>
      </c>
      <c r="H38" s="8">
        <f>COUNTIF('Test Case Mapping'!$E$2:$E$600,A38)</f>
        <v/>
      </c>
      <c r="I38" s="8">
        <f>COUNTIFS('Test Case Mapping'!$E$2:$E$600,A38,'Test Case Mapping'!$G$2:$G$600,"Yes")</f>
        <v/>
      </c>
      <c r="J38" s="8">
        <f>COUNTIFS('Test Case Mapping'!$E$2:$E$600,A38,'Test Case Mapping'!$I$2:$I$600,"Pass")</f>
        <v/>
      </c>
      <c r="K38" s="8">
        <f>COUNTIFS('Test Case Mapping'!$E$2:$E$600,A38,'Test Case Mapping'!$I$2:$I$600,"Fail")</f>
        <v/>
      </c>
      <c r="L38" s="8">
        <f>COUNTIFS('Test Case Mapping'!$E$2:$E$600,A38,'Test Case Mapping'!$I$2:$I$600,"Skipped")</f>
        <v/>
      </c>
      <c r="M38" s="8">
        <f>COUNTIFS('Test Case Mapping'!$E$2:$E$600,A38,'Test Case Mapping'!$I$2:$I$600,"Not run")</f>
        <v/>
      </c>
      <c r="N38" s="8">
        <f>IF(H38=0,"Not covered",IF(I38=H38,"Automated",IF(I38=0,"Manual only","Partly manual")))</f>
        <v/>
      </c>
      <c r="O38" s="8">
        <f>IF(H38=0,"Not run",IF(K38&gt;0,IF(J38&gt;0,"Partly failing","Fail"),IF(J38&gt;0,"Pass",IF(M38&gt;0,"Not run","Skipped"))))</f>
        <v/>
      </c>
      <c r="P38" s="8" t="inlineStr">
        <is>
          <t>DEF-08</t>
        </is>
      </c>
    </row>
    <row r="39">
      <c r="A39" s="8" t="inlineStr">
        <is>
          <t>REQ-BRK-01</t>
        </is>
      </c>
      <c r="B39" s="7" t="inlineStr">
        <is>
          <t>Report modules</t>
        </is>
      </c>
      <c r="C39" s="7" t="inlineStr">
        <is>
          <t>Broker Reports</t>
        </is>
      </c>
      <c r="D39" s="7" t="inlineStr">
        <is>
          <t>Opens from its hub card; tab bar and breadcrumb work</t>
        </is>
      </c>
      <c r="E39" s="8" t="inlineStr">
        <is>
          <t>Medium</t>
        </is>
      </c>
      <c r="F39" s="7" t="inlineStr">
        <is>
          <t>Core suite, Page tests (POM)</t>
        </is>
      </c>
      <c r="G39" s="7" t="inlineStr">
        <is>
          <t>BRK-01, BRK-11, RA-MOD-05</t>
        </is>
      </c>
      <c r="H39" s="8">
        <f>COUNTIF('Test Case Mapping'!$E$2:$E$600,A39)</f>
        <v/>
      </c>
      <c r="I39" s="8">
        <f>COUNTIFS('Test Case Mapping'!$E$2:$E$600,A39,'Test Case Mapping'!$G$2:$G$600,"Yes")</f>
        <v/>
      </c>
      <c r="J39" s="8">
        <f>COUNTIFS('Test Case Mapping'!$E$2:$E$600,A39,'Test Case Mapping'!$I$2:$I$600,"Pass")</f>
        <v/>
      </c>
      <c r="K39" s="8">
        <f>COUNTIFS('Test Case Mapping'!$E$2:$E$600,A39,'Test Case Mapping'!$I$2:$I$600,"Fail")</f>
        <v/>
      </c>
      <c r="L39" s="8">
        <f>COUNTIFS('Test Case Mapping'!$E$2:$E$600,A39,'Test Case Mapping'!$I$2:$I$600,"Skipped")</f>
        <v/>
      </c>
      <c r="M39" s="8">
        <f>COUNTIFS('Test Case Mapping'!$E$2:$E$600,A39,'Test Case Mapping'!$I$2:$I$600,"Not run")</f>
        <v/>
      </c>
      <c r="N39" s="8">
        <f>IF(H39=0,"Not covered",IF(I39=H39,"Automated",IF(I39=0,"Manual only","Partly manual")))</f>
        <v/>
      </c>
      <c r="O39" s="8">
        <f>IF(H39=0,"Not run",IF(K39&gt;0,IF(J39&gt;0,"Partly failing","Fail"),IF(J39&gt;0,"Pass",IF(M39&gt;0,"Not run","Skipped"))))</f>
        <v/>
      </c>
      <c r="P39" s="8" t="inlineStr">
        <is>
          <t>—</t>
        </is>
      </c>
    </row>
    <row r="40">
      <c r="A40" s="8" t="inlineStr">
        <is>
          <t>REQ-BRK-02</t>
        </is>
      </c>
      <c r="B40" s="7" t="inlineStr">
        <is>
          <t>Report modules</t>
        </is>
      </c>
      <c r="C40" s="7" t="inlineStr">
        <is>
          <t>Broker Reports</t>
        </is>
      </c>
      <c r="D40" s="7" t="inlineStr">
        <is>
          <t>Every KPI card and table shows valid values without errors</t>
        </is>
      </c>
      <c r="E40" s="8" t="inlineStr">
        <is>
          <t>High</t>
        </is>
      </c>
      <c r="F40" s="7" t="inlineStr">
        <is>
          <t>Core suite, Page tests (POM)</t>
        </is>
      </c>
      <c r="G40" s="7" t="inlineStr">
        <is>
          <t>BRK-02, BRK-03, RM-05</t>
        </is>
      </c>
      <c r="H40" s="8">
        <f>COUNTIF('Test Case Mapping'!$E$2:$E$600,A40)</f>
        <v/>
      </c>
      <c r="I40" s="8">
        <f>COUNTIFS('Test Case Mapping'!$E$2:$E$600,A40,'Test Case Mapping'!$G$2:$G$600,"Yes")</f>
        <v/>
      </c>
      <c r="J40" s="8">
        <f>COUNTIFS('Test Case Mapping'!$E$2:$E$600,A40,'Test Case Mapping'!$I$2:$I$600,"Pass")</f>
        <v/>
      </c>
      <c r="K40" s="8">
        <f>COUNTIFS('Test Case Mapping'!$E$2:$E$600,A40,'Test Case Mapping'!$I$2:$I$600,"Fail")</f>
        <v/>
      </c>
      <c r="L40" s="8">
        <f>COUNTIFS('Test Case Mapping'!$E$2:$E$600,A40,'Test Case Mapping'!$I$2:$I$600,"Skipped")</f>
        <v/>
      </c>
      <c r="M40" s="8">
        <f>COUNTIFS('Test Case Mapping'!$E$2:$E$600,A40,'Test Case Mapping'!$I$2:$I$600,"Not run")</f>
        <v/>
      </c>
      <c r="N40" s="8">
        <f>IF(H40=0,"Not covered",IF(I40=H40,"Automated",IF(I40=0,"Manual only","Partly manual")))</f>
        <v/>
      </c>
      <c r="O40" s="8">
        <f>IF(H40=0,"Not run",IF(K40&gt;0,IF(J40&gt;0,"Partly failing","Fail"),IF(J40&gt;0,"Pass",IF(M40&gt;0,"Not run","Skipped"))))</f>
        <v/>
      </c>
      <c r="P40" s="8" t="inlineStr">
        <is>
          <t>—</t>
        </is>
      </c>
    </row>
    <row r="41">
      <c r="A41" s="8" t="inlineStr">
        <is>
          <t>REQ-BRK-03</t>
        </is>
      </c>
      <c r="B41" s="7" t="inlineStr">
        <is>
          <t>Report modules</t>
        </is>
      </c>
      <c r="C41" s="7" t="inlineStr">
        <is>
          <t>Broker Reports</t>
        </is>
      </c>
      <c r="D41" s="7" t="inlineStr">
        <is>
          <t>Period, default period and custom dates reload the report</t>
        </is>
      </c>
      <c r="E41" s="8" t="inlineStr">
        <is>
          <t>High</t>
        </is>
      </c>
      <c r="F41" s="7" t="inlineStr">
        <is>
          <t>Page tests (POM)</t>
        </is>
      </c>
      <c r="G41" s="7" t="inlineStr">
        <is>
          <t>BRK-04…BRK-06</t>
        </is>
      </c>
      <c r="H41" s="8">
        <f>COUNTIF('Test Case Mapping'!$E$2:$E$600,A41)</f>
        <v/>
      </c>
      <c r="I41" s="8">
        <f>COUNTIFS('Test Case Mapping'!$E$2:$E$600,A41,'Test Case Mapping'!$G$2:$G$600,"Yes")</f>
        <v/>
      </c>
      <c r="J41" s="8">
        <f>COUNTIFS('Test Case Mapping'!$E$2:$E$600,A41,'Test Case Mapping'!$I$2:$I$600,"Pass")</f>
        <v/>
      </c>
      <c r="K41" s="8">
        <f>COUNTIFS('Test Case Mapping'!$E$2:$E$600,A41,'Test Case Mapping'!$I$2:$I$600,"Fail")</f>
        <v/>
      </c>
      <c r="L41" s="8">
        <f>COUNTIFS('Test Case Mapping'!$E$2:$E$600,A41,'Test Case Mapping'!$I$2:$I$600,"Skipped")</f>
        <v/>
      </c>
      <c r="M41" s="8">
        <f>COUNTIFS('Test Case Mapping'!$E$2:$E$600,A41,'Test Case Mapping'!$I$2:$I$600,"Not run")</f>
        <v/>
      </c>
      <c r="N41" s="8">
        <f>IF(H41=0,"Not covered",IF(I41=H41,"Automated",IF(I41=0,"Manual only","Partly manual")))</f>
        <v/>
      </c>
      <c r="O41" s="8">
        <f>IF(H41=0,"Not run",IF(K41&gt;0,IF(J41&gt;0,"Partly failing","Fail"),IF(J41&gt;0,"Pass",IF(M41&gt;0,"Not run","Skipped"))))</f>
        <v/>
      </c>
      <c r="P41" s="8" t="inlineStr">
        <is>
          <t>DEF-01</t>
        </is>
      </c>
    </row>
    <row r="42">
      <c r="A42" s="8" t="inlineStr">
        <is>
          <t>REQ-BRK-04</t>
        </is>
      </c>
      <c r="B42" s="7" t="inlineStr">
        <is>
          <t>Report modules</t>
        </is>
      </c>
      <c r="C42" s="7" t="inlineStr">
        <is>
          <t>Broker Reports</t>
        </is>
      </c>
      <c r="D42" s="7" t="inlineStr">
        <is>
          <t>Filters and views narrow the results (All ≥ Team ≥ Mine); Reset restores them</t>
        </is>
      </c>
      <c r="E42" s="8" t="inlineStr">
        <is>
          <t>High</t>
        </is>
      </c>
      <c r="F42" s="7" t="inlineStr">
        <is>
          <t>Page tests (POM)</t>
        </is>
      </c>
      <c r="G42" s="7" t="inlineStr">
        <is>
          <t>BRK-07…BRK-09</t>
        </is>
      </c>
      <c r="H42" s="8">
        <f>COUNTIF('Test Case Mapping'!$E$2:$E$600,A42)</f>
        <v/>
      </c>
      <c r="I42" s="8">
        <f>COUNTIFS('Test Case Mapping'!$E$2:$E$600,A42,'Test Case Mapping'!$G$2:$G$600,"Yes")</f>
        <v/>
      </c>
      <c r="J42" s="8">
        <f>COUNTIFS('Test Case Mapping'!$E$2:$E$600,A42,'Test Case Mapping'!$I$2:$I$600,"Pass")</f>
        <v/>
      </c>
      <c r="K42" s="8">
        <f>COUNTIFS('Test Case Mapping'!$E$2:$E$600,A42,'Test Case Mapping'!$I$2:$I$600,"Fail")</f>
        <v/>
      </c>
      <c r="L42" s="8">
        <f>COUNTIFS('Test Case Mapping'!$E$2:$E$600,A42,'Test Case Mapping'!$I$2:$I$600,"Skipped")</f>
        <v/>
      </c>
      <c r="M42" s="8">
        <f>COUNTIFS('Test Case Mapping'!$E$2:$E$600,A42,'Test Case Mapping'!$I$2:$I$600,"Not run")</f>
        <v/>
      </c>
      <c r="N42" s="8">
        <f>IF(H42=0,"Not covered",IF(I42=H42,"Automated",IF(I42=0,"Manual only","Partly manual")))</f>
        <v/>
      </c>
      <c r="O42" s="8">
        <f>IF(H42=0,"Not run",IF(K42&gt;0,IF(J42&gt;0,"Partly failing","Fail"),IF(J42&gt;0,"Pass",IF(M42&gt;0,"Not run","Skipped"))))</f>
        <v/>
      </c>
      <c r="P42" s="8" t="inlineStr">
        <is>
          <t>—</t>
        </is>
      </c>
    </row>
    <row r="43">
      <c r="A43" s="8" t="inlineStr">
        <is>
          <t>REQ-BRK-05</t>
        </is>
      </c>
      <c r="B43" s="7" t="inlineStr">
        <is>
          <t>Report modules</t>
        </is>
      </c>
      <c r="C43" s="7" t="inlineStr">
        <is>
          <t>Broker Reports</t>
        </is>
      </c>
      <c r="D43" s="7" t="inlineStr">
        <is>
          <t>Panel exports match the tables on screen</t>
        </is>
      </c>
      <c r="E43" s="8" t="inlineStr">
        <is>
          <t>Medium</t>
        </is>
      </c>
      <c r="F43" s="7" t="inlineStr">
        <is>
          <t>Page tests (POM)</t>
        </is>
      </c>
      <c r="G43" s="7" t="inlineStr">
        <is>
          <t>BRK-10</t>
        </is>
      </c>
      <c r="H43" s="8">
        <f>COUNTIF('Test Case Mapping'!$E$2:$E$600,A43)</f>
        <v/>
      </c>
      <c r="I43" s="8">
        <f>COUNTIFS('Test Case Mapping'!$E$2:$E$600,A43,'Test Case Mapping'!$G$2:$G$600,"Yes")</f>
        <v/>
      </c>
      <c r="J43" s="8">
        <f>COUNTIFS('Test Case Mapping'!$E$2:$E$600,A43,'Test Case Mapping'!$I$2:$I$600,"Pass")</f>
        <v/>
      </c>
      <c r="K43" s="8">
        <f>COUNTIFS('Test Case Mapping'!$E$2:$E$600,A43,'Test Case Mapping'!$I$2:$I$600,"Fail")</f>
        <v/>
      </c>
      <c r="L43" s="8">
        <f>COUNTIFS('Test Case Mapping'!$E$2:$E$600,A43,'Test Case Mapping'!$I$2:$I$600,"Skipped")</f>
        <v/>
      </c>
      <c r="M43" s="8">
        <f>COUNTIFS('Test Case Mapping'!$E$2:$E$600,A43,'Test Case Mapping'!$I$2:$I$600,"Not run")</f>
        <v/>
      </c>
      <c r="N43" s="8">
        <f>IF(H43=0,"Not covered",IF(I43=H43,"Automated",IF(I43=0,"Manual only","Partly manual")))</f>
        <v/>
      </c>
      <c r="O43" s="8">
        <f>IF(H43=0,"Not run",IF(K43&gt;0,IF(J43&gt;0,"Partly failing","Fail"),IF(J43&gt;0,"Pass",IF(M43&gt;0,"Not run","Skipped"))))</f>
        <v/>
      </c>
      <c r="P43" s="8" t="inlineStr">
        <is>
          <t>—</t>
        </is>
      </c>
    </row>
    <row r="44">
      <c r="A44" s="8" t="inlineStr">
        <is>
          <t>REQ-BRK-06</t>
        </is>
      </c>
      <c r="B44" s="7" t="inlineStr">
        <is>
          <t>Report modules</t>
        </is>
      </c>
      <c r="C44" s="7" t="inlineStr">
        <is>
          <t>Broker Reports</t>
        </is>
      </c>
      <c r="D44" s="7" t="inlineStr">
        <is>
          <t>Page calculations: tables add up to the KPIs, rates and averages are correct</t>
        </is>
      </c>
      <c r="E44" s="8" t="inlineStr">
        <is>
          <t>High</t>
        </is>
      </c>
      <c r="F44" s="7" t="inlineStr">
        <is>
          <t>Page tests (POM)</t>
        </is>
      </c>
      <c r="G44" s="7" t="inlineStr">
        <is>
          <t>BRK-12, BRK-13</t>
        </is>
      </c>
      <c r="H44" s="8">
        <f>COUNTIF('Test Case Mapping'!$E$2:$E$600,A44)</f>
        <v/>
      </c>
      <c r="I44" s="8">
        <f>COUNTIFS('Test Case Mapping'!$E$2:$E$600,A44,'Test Case Mapping'!$G$2:$G$600,"Yes")</f>
        <v/>
      </c>
      <c r="J44" s="8">
        <f>COUNTIFS('Test Case Mapping'!$E$2:$E$600,A44,'Test Case Mapping'!$I$2:$I$600,"Pass")</f>
        <v/>
      </c>
      <c r="K44" s="8">
        <f>COUNTIFS('Test Case Mapping'!$E$2:$E$600,A44,'Test Case Mapping'!$I$2:$I$600,"Fail")</f>
        <v/>
      </c>
      <c r="L44" s="8">
        <f>COUNTIFS('Test Case Mapping'!$E$2:$E$600,A44,'Test Case Mapping'!$I$2:$I$600,"Skipped")</f>
        <v/>
      </c>
      <c r="M44" s="8">
        <f>COUNTIFS('Test Case Mapping'!$E$2:$E$600,A44,'Test Case Mapping'!$I$2:$I$600,"Not run")</f>
        <v/>
      </c>
      <c r="N44" s="8">
        <f>IF(H44=0,"Not covered",IF(I44=H44,"Automated",IF(I44=0,"Manual only","Partly manual")))</f>
        <v/>
      </c>
      <c r="O44" s="8">
        <f>IF(H44=0,"Not run",IF(K44&gt;0,IF(J44&gt;0,"Partly failing","Fail"),IF(J44&gt;0,"Pass",IF(M44&gt;0,"Not run","Skipped"))))</f>
        <v/>
      </c>
      <c r="P44" s="8" t="inlineStr">
        <is>
          <t>—</t>
        </is>
      </c>
    </row>
    <row r="45">
      <c r="A45" s="8" t="inlineStr">
        <is>
          <t>REQ-MKT-01</t>
        </is>
      </c>
      <c r="B45" s="7" t="inlineStr">
        <is>
          <t>Report modules</t>
        </is>
      </c>
      <c r="C45" s="7" t="inlineStr">
        <is>
          <t>Marketing Reports</t>
        </is>
      </c>
      <c r="D45" s="7" t="inlineStr">
        <is>
          <t>Opens from its hub card; tab bar and breadcrumb work</t>
        </is>
      </c>
      <c r="E45" s="8" t="inlineStr">
        <is>
          <t>Medium</t>
        </is>
      </c>
      <c r="F45" s="7" t="inlineStr">
        <is>
          <t>Core suite, Page tests (POM)</t>
        </is>
      </c>
      <c r="G45" s="7" t="inlineStr">
        <is>
          <t>MKT-01, MKT-11, RA-MOD-06</t>
        </is>
      </c>
      <c r="H45" s="8">
        <f>COUNTIF('Test Case Mapping'!$E$2:$E$600,A45)</f>
        <v/>
      </c>
      <c r="I45" s="8">
        <f>COUNTIFS('Test Case Mapping'!$E$2:$E$600,A45,'Test Case Mapping'!$G$2:$G$600,"Yes")</f>
        <v/>
      </c>
      <c r="J45" s="8">
        <f>COUNTIFS('Test Case Mapping'!$E$2:$E$600,A45,'Test Case Mapping'!$I$2:$I$600,"Pass")</f>
        <v/>
      </c>
      <c r="K45" s="8">
        <f>COUNTIFS('Test Case Mapping'!$E$2:$E$600,A45,'Test Case Mapping'!$I$2:$I$600,"Fail")</f>
        <v/>
      </c>
      <c r="L45" s="8">
        <f>COUNTIFS('Test Case Mapping'!$E$2:$E$600,A45,'Test Case Mapping'!$I$2:$I$600,"Skipped")</f>
        <v/>
      </c>
      <c r="M45" s="8">
        <f>COUNTIFS('Test Case Mapping'!$E$2:$E$600,A45,'Test Case Mapping'!$I$2:$I$600,"Not run")</f>
        <v/>
      </c>
      <c r="N45" s="8">
        <f>IF(H45=0,"Not covered",IF(I45=H45,"Automated",IF(I45=0,"Manual only","Partly manual")))</f>
        <v/>
      </c>
      <c r="O45" s="8">
        <f>IF(H45=0,"Not run",IF(K45&gt;0,IF(J45&gt;0,"Partly failing","Fail"),IF(J45&gt;0,"Pass",IF(M45&gt;0,"Not run","Skipped"))))</f>
        <v/>
      </c>
      <c r="P45" s="8" t="inlineStr">
        <is>
          <t>—</t>
        </is>
      </c>
    </row>
    <row r="46">
      <c r="A46" s="8" t="inlineStr">
        <is>
          <t>REQ-MKT-02</t>
        </is>
      </c>
      <c r="B46" s="7" t="inlineStr">
        <is>
          <t>Report modules</t>
        </is>
      </c>
      <c r="C46" s="7" t="inlineStr">
        <is>
          <t>Marketing Reports</t>
        </is>
      </c>
      <c r="D46" s="7" t="inlineStr">
        <is>
          <t>Every KPI card and table shows valid values without errors</t>
        </is>
      </c>
      <c r="E46" s="8" t="inlineStr">
        <is>
          <t>High</t>
        </is>
      </c>
      <c r="F46" s="7" t="inlineStr">
        <is>
          <t>Core suite, Page tests (POM)</t>
        </is>
      </c>
      <c r="G46" s="7" t="inlineStr">
        <is>
          <t>MKT-02, MKT-03, RM-06</t>
        </is>
      </c>
      <c r="H46" s="8">
        <f>COUNTIF('Test Case Mapping'!$E$2:$E$600,A46)</f>
        <v/>
      </c>
      <c r="I46" s="8">
        <f>COUNTIFS('Test Case Mapping'!$E$2:$E$600,A46,'Test Case Mapping'!$G$2:$G$600,"Yes")</f>
        <v/>
      </c>
      <c r="J46" s="8">
        <f>COUNTIFS('Test Case Mapping'!$E$2:$E$600,A46,'Test Case Mapping'!$I$2:$I$600,"Pass")</f>
        <v/>
      </c>
      <c r="K46" s="8">
        <f>COUNTIFS('Test Case Mapping'!$E$2:$E$600,A46,'Test Case Mapping'!$I$2:$I$600,"Fail")</f>
        <v/>
      </c>
      <c r="L46" s="8">
        <f>COUNTIFS('Test Case Mapping'!$E$2:$E$600,A46,'Test Case Mapping'!$I$2:$I$600,"Skipped")</f>
        <v/>
      </c>
      <c r="M46" s="8">
        <f>COUNTIFS('Test Case Mapping'!$E$2:$E$600,A46,'Test Case Mapping'!$I$2:$I$600,"Not run")</f>
        <v/>
      </c>
      <c r="N46" s="8">
        <f>IF(H46=0,"Not covered",IF(I46=H46,"Automated",IF(I46=0,"Manual only","Partly manual")))</f>
        <v/>
      </c>
      <c r="O46" s="8">
        <f>IF(H46=0,"Not run",IF(K46&gt;0,IF(J46&gt;0,"Partly failing","Fail"),IF(J46&gt;0,"Pass",IF(M46&gt;0,"Not run","Skipped"))))</f>
        <v/>
      </c>
      <c r="P46" s="8" t="inlineStr">
        <is>
          <t>—</t>
        </is>
      </c>
    </row>
    <row r="47">
      <c r="A47" s="8" t="inlineStr">
        <is>
          <t>REQ-MKT-03</t>
        </is>
      </c>
      <c r="B47" s="7" t="inlineStr">
        <is>
          <t>Report modules</t>
        </is>
      </c>
      <c r="C47" s="7" t="inlineStr">
        <is>
          <t>Marketing Reports</t>
        </is>
      </c>
      <c r="D47" s="7" t="inlineStr">
        <is>
          <t>Period, default period and custom dates reload the report</t>
        </is>
      </c>
      <c r="E47" s="8" t="inlineStr">
        <is>
          <t>High</t>
        </is>
      </c>
      <c r="F47" s="7" t="inlineStr">
        <is>
          <t>Page tests (POM)</t>
        </is>
      </c>
      <c r="G47" s="7" t="inlineStr">
        <is>
          <t>MKT-04…MKT-06</t>
        </is>
      </c>
      <c r="H47" s="8">
        <f>COUNTIF('Test Case Mapping'!$E$2:$E$600,A47)</f>
        <v/>
      </c>
      <c r="I47" s="8">
        <f>COUNTIFS('Test Case Mapping'!$E$2:$E$600,A47,'Test Case Mapping'!$G$2:$G$600,"Yes")</f>
        <v/>
      </c>
      <c r="J47" s="8">
        <f>COUNTIFS('Test Case Mapping'!$E$2:$E$600,A47,'Test Case Mapping'!$I$2:$I$600,"Pass")</f>
        <v/>
      </c>
      <c r="K47" s="8">
        <f>COUNTIFS('Test Case Mapping'!$E$2:$E$600,A47,'Test Case Mapping'!$I$2:$I$600,"Fail")</f>
        <v/>
      </c>
      <c r="L47" s="8">
        <f>COUNTIFS('Test Case Mapping'!$E$2:$E$600,A47,'Test Case Mapping'!$I$2:$I$600,"Skipped")</f>
        <v/>
      </c>
      <c r="M47" s="8">
        <f>COUNTIFS('Test Case Mapping'!$E$2:$E$600,A47,'Test Case Mapping'!$I$2:$I$600,"Not run")</f>
        <v/>
      </c>
      <c r="N47" s="8">
        <f>IF(H47=0,"Not covered",IF(I47=H47,"Automated",IF(I47=0,"Manual only","Partly manual")))</f>
        <v/>
      </c>
      <c r="O47" s="8">
        <f>IF(H47=0,"Not run",IF(K47&gt;0,IF(J47&gt;0,"Partly failing","Fail"),IF(J47&gt;0,"Pass",IF(M47&gt;0,"Not run","Skipped"))))</f>
        <v/>
      </c>
      <c r="P47" s="8" t="inlineStr">
        <is>
          <t>DEF-01</t>
        </is>
      </c>
    </row>
    <row r="48">
      <c r="A48" s="8" t="inlineStr">
        <is>
          <t>REQ-MKT-04</t>
        </is>
      </c>
      <c r="B48" s="7" t="inlineStr">
        <is>
          <t>Report modules</t>
        </is>
      </c>
      <c r="C48" s="7" t="inlineStr">
        <is>
          <t>Marketing Reports</t>
        </is>
      </c>
      <c r="D48" s="7" t="inlineStr">
        <is>
          <t>Filters and views narrow the results (All ≥ Team ≥ Mine); Reset restores them</t>
        </is>
      </c>
      <c r="E48" s="8" t="inlineStr">
        <is>
          <t>High</t>
        </is>
      </c>
      <c r="F48" s="7" t="inlineStr">
        <is>
          <t>Page tests (POM)</t>
        </is>
      </c>
      <c r="G48" s="7" t="inlineStr">
        <is>
          <t>MKT-07…MKT-09</t>
        </is>
      </c>
      <c r="H48" s="8">
        <f>COUNTIF('Test Case Mapping'!$E$2:$E$600,A48)</f>
        <v/>
      </c>
      <c r="I48" s="8">
        <f>COUNTIFS('Test Case Mapping'!$E$2:$E$600,A48,'Test Case Mapping'!$G$2:$G$600,"Yes")</f>
        <v/>
      </c>
      <c r="J48" s="8">
        <f>COUNTIFS('Test Case Mapping'!$E$2:$E$600,A48,'Test Case Mapping'!$I$2:$I$600,"Pass")</f>
        <v/>
      </c>
      <c r="K48" s="8">
        <f>COUNTIFS('Test Case Mapping'!$E$2:$E$600,A48,'Test Case Mapping'!$I$2:$I$600,"Fail")</f>
        <v/>
      </c>
      <c r="L48" s="8">
        <f>COUNTIFS('Test Case Mapping'!$E$2:$E$600,A48,'Test Case Mapping'!$I$2:$I$600,"Skipped")</f>
        <v/>
      </c>
      <c r="M48" s="8">
        <f>COUNTIFS('Test Case Mapping'!$E$2:$E$600,A48,'Test Case Mapping'!$I$2:$I$600,"Not run")</f>
        <v/>
      </c>
      <c r="N48" s="8">
        <f>IF(H48=0,"Not covered",IF(I48=H48,"Automated",IF(I48=0,"Manual only","Partly manual")))</f>
        <v/>
      </c>
      <c r="O48" s="8">
        <f>IF(H48=0,"Not run",IF(K48&gt;0,IF(J48&gt;0,"Partly failing","Fail"),IF(J48&gt;0,"Pass",IF(M48&gt;0,"Not run","Skipped"))))</f>
        <v/>
      </c>
      <c r="P48" s="8" t="inlineStr">
        <is>
          <t>—</t>
        </is>
      </c>
    </row>
    <row r="49">
      <c r="A49" s="8" t="inlineStr">
        <is>
          <t>REQ-MKT-05</t>
        </is>
      </c>
      <c r="B49" s="7" t="inlineStr">
        <is>
          <t>Report modules</t>
        </is>
      </c>
      <c r="C49" s="7" t="inlineStr">
        <is>
          <t>Marketing Reports</t>
        </is>
      </c>
      <c r="D49" s="7" t="inlineStr">
        <is>
          <t>Panel exports match the tables on screen</t>
        </is>
      </c>
      <c r="E49" s="8" t="inlineStr">
        <is>
          <t>Medium</t>
        </is>
      </c>
      <c r="F49" s="7" t="inlineStr">
        <is>
          <t>Page tests (POM)</t>
        </is>
      </c>
      <c r="G49" s="7" t="inlineStr">
        <is>
          <t>MKT-10</t>
        </is>
      </c>
      <c r="H49" s="8">
        <f>COUNTIF('Test Case Mapping'!$E$2:$E$600,A49)</f>
        <v/>
      </c>
      <c r="I49" s="8">
        <f>COUNTIFS('Test Case Mapping'!$E$2:$E$600,A49,'Test Case Mapping'!$G$2:$G$600,"Yes")</f>
        <v/>
      </c>
      <c r="J49" s="8">
        <f>COUNTIFS('Test Case Mapping'!$E$2:$E$600,A49,'Test Case Mapping'!$I$2:$I$600,"Pass")</f>
        <v/>
      </c>
      <c r="K49" s="8">
        <f>COUNTIFS('Test Case Mapping'!$E$2:$E$600,A49,'Test Case Mapping'!$I$2:$I$600,"Fail")</f>
        <v/>
      </c>
      <c r="L49" s="8">
        <f>COUNTIFS('Test Case Mapping'!$E$2:$E$600,A49,'Test Case Mapping'!$I$2:$I$600,"Skipped")</f>
        <v/>
      </c>
      <c r="M49" s="8">
        <f>COUNTIFS('Test Case Mapping'!$E$2:$E$600,A49,'Test Case Mapping'!$I$2:$I$600,"Not run")</f>
        <v/>
      </c>
      <c r="N49" s="8">
        <f>IF(H49=0,"Not covered",IF(I49=H49,"Automated",IF(I49=0,"Manual only","Partly manual")))</f>
        <v/>
      </c>
      <c r="O49" s="8">
        <f>IF(H49=0,"Not run",IF(K49&gt;0,IF(J49&gt;0,"Partly failing","Fail"),IF(J49&gt;0,"Pass",IF(M49&gt;0,"Not run","Skipped"))))</f>
        <v/>
      </c>
      <c r="P49" s="8" t="inlineStr">
        <is>
          <t>—</t>
        </is>
      </c>
    </row>
    <row r="50">
      <c r="A50" s="8" t="inlineStr">
        <is>
          <t>REQ-MKT-06</t>
        </is>
      </c>
      <c r="B50" s="7" t="inlineStr">
        <is>
          <t>Report modules</t>
        </is>
      </c>
      <c r="C50" s="7" t="inlineStr">
        <is>
          <t>Marketing Reports</t>
        </is>
      </c>
      <c r="D50" s="7" t="inlineStr">
        <is>
          <t>Page calculations: tables add up to the KPIs, rates and averages are correct</t>
        </is>
      </c>
      <c r="E50" s="8" t="inlineStr">
        <is>
          <t>High</t>
        </is>
      </c>
      <c r="F50" s="7" t="inlineStr">
        <is>
          <t>Core suite, Page tests (POM)</t>
        </is>
      </c>
      <c r="G50" s="7" t="inlineStr">
        <is>
          <t>M-06, MKT-12, MKT-13</t>
        </is>
      </c>
      <c r="H50" s="8">
        <f>COUNTIF('Test Case Mapping'!$E$2:$E$600,A50)</f>
        <v/>
      </c>
      <c r="I50" s="8">
        <f>COUNTIFS('Test Case Mapping'!$E$2:$E$600,A50,'Test Case Mapping'!$G$2:$G$600,"Yes")</f>
        <v/>
      </c>
      <c r="J50" s="8">
        <f>COUNTIFS('Test Case Mapping'!$E$2:$E$600,A50,'Test Case Mapping'!$I$2:$I$600,"Pass")</f>
        <v/>
      </c>
      <c r="K50" s="8">
        <f>COUNTIFS('Test Case Mapping'!$E$2:$E$600,A50,'Test Case Mapping'!$I$2:$I$600,"Fail")</f>
        <v/>
      </c>
      <c r="L50" s="8">
        <f>COUNTIFS('Test Case Mapping'!$E$2:$E$600,A50,'Test Case Mapping'!$I$2:$I$600,"Skipped")</f>
        <v/>
      </c>
      <c r="M50" s="8">
        <f>COUNTIFS('Test Case Mapping'!$E$2:$E$600,A50,'Test Case Mapping'!$I$2:$I$600,"Not run")</f>
        <v/>
      </c>
      <c r="N50" s="8">
        <f>IF(H50=0,"Not covered",IF(I50=H50,"Automated",IF(I50=0,"Manual only","Partly manual")))</f>
        <v/>
      </c>
      <c r="O50" s="8">
        <f>IF(H50=0,"Not run",IF(K50&gt;0,IF(J50&gt;0,"Partly failing","Fail"),IF(J50&gt;0,"Pass",IF(M50&gt;0,"Not run","Skipped"))))</f>
        <v/>
      </c>
      <c r="P50" s="8" t="inlineStr">
        <is>
          <t>—</t>
        </is>
      </c>
    </row>
    <row r="51">
      <c r="A51" s="8" t="inlineStr">
        <is>
          <t>REQ-RES-01</t>
        </is>
      </c>
      <c r="B51" s="7" t="inlineStr">
        <is>
          <t>Report modules</t>
        </is>
      </c>
      <c r="C51" s="7" t="inlineStr">
        <is>
          <t>Reservation Reports</t>
        </is>
      </c>
      <c r="D51" s="7" t="inlineStr">
        <is>
          <t>Opens from its hub card; tab bar and breadcrumb work</t>
        </is>
      </c>
      <c r="E51" s="8" t="inlineStr">
        <is>
          <t>Medium</t>
        </is>
      </c>
      <c r="F51" s="7" t="inlineStr">
        <is>
          <t>Core suite, Page tests (POM)</t>
        </is>
      </c>
      <c r="G51" s="7" t="inlineStr">
        <is>
          <t>RA-MOD-07, RES-01, RES-11</t>
        </is>
      </c>
      <c r="H51" s="8">
        <f>COUNTIF('Test Case Mapping'!$E$2:$E$600,A51)</f>
        <v/>
      </c>
      <c r="I51" s="8">
        <f>COUNTIFS('Test Case Mapping'!$E$2:$E$600,A51,'Test Case Mapping'!$G$2:$G$600,"Yes")</f>
        <v/>
      </c>
      <c r="J51" s="8">
        <f>COUNTIFS('Test Case Mapping'!$E$2:$E$600,A51,'Test Case Mapping'!$I$2:$I$600,"Pass")</f>
        <v/>
      </c>
      <c r="K51" s="8">
        <f>COUNTIFS('Test Case Mapping'!$E$2:$E$600,A51,'Test Case Mapping'!$I$2:$I$600,"Fail")</f>
        <v/>
      </c>
      <c r="L51" s="8">
        <f>COUNTIFS('Test Case Mapping'!$E$2:$E$600,A51,'Test Case Mapping'!$I$2:$I$600,"Skipped")</f>
        <v/>
      </c>
      <c r="M51" s="8">
        <f>COUNTIFS('Test Case Mapping'!$E$2:$E$600,A51,'Test Case Mapping'!$I$2:$I$600,"Not run")</f>
        <v/>
      </c>
      <c r="N51" s="8">
        <f>IF(H51=0,"Not covered",IF(I51=H51,"Automated",IF(I51=0,"Manual only","Partly manual")))</f>
        <v/>
      </c>
      <c r="O51" s="8">
        <f>IF(H51=0,"Not run",IF(K51&gt;0,IF(J51&gt;0,"Partly failing","Fail"),IF(J51&gt;0,"Pass",IF(M51&gt;0,"Not run","Skipped"))))</f>
        <v/>
      </c>
      <c r="P51" s="8" t="inlineStr">
        <is>
          <t>—</t>
        </is>
      </c>
    </row>
    <row r="52">
      <c r="A52" s="8" t="inlineStr">
        <is>
          <t>REQ-RES-02</t>
        </is>
      </c>
      <c r="B52" s="7" t="inlineStr">
        <is>
          <t>Report modules</t>
        </is>
      </c>
      <c r="C52" s="7" t="inlineStr">
        <is>
          <t>Reservation Reports</t>
        </is>
      </c>
      <c r="D52" s="7" t="inlineStr">
        <is>
          <t>Every KPI card and table shows valid values without errors</t>
        </is>
      </c>
      <c r="E52" s="8" t="inlineStr">
        <is>
          <t>High</t>
        </is>
      </c>
      <c r="F52" s="7" t="inlineStr">
        <is>
          <t>Core suite, Page tests (POM)</t>
        </is>
      </c>
      <c r="G52" s="7" t="inlineStr">
        <is>
          <t>RES-02, RES-03, RM-07</t>
        </is>
      </c>
      <c r="H52" s="8">
        <f>COUNTIF('Test Case Mapping'!$E$2:$E$600,A52)</f>
        <v/>
      </c>
      <c r="I52" s="8">
        <f>COUNTIFS('Test Case Mapping'!$E$2:$E$600,A52,'Test Case Mapping'!$G$2:$G$600,"Yes")</f>
        <v/>
      </c>
      <c r="J52" s="8">
        <f>COUNTIFS('Test Case Mapping'!$E$2:$E$600,A52,'Test Case Mapping'!$I$2:$I$600,"Pass")</f>
        <v/>
      </c>
      <c r="K52" s="8">
        <f>COUNTIFS('Test Case Mapping'!$E$2:$E$600,A52,'Test Case Mapping'!$I$2:$I$600,"Fail")</f>
        <v/>
      </c>
      <c r="L52" s="8">
        <f>COUNTIFS('Test Case Mapping'!$E$2:$E$600,A52,'Test Case Mapping'!$I$2:$I$600,"Skipped")</f>
        <v/>
      </c>
      <c r="M52" s="8">
        <f>COUNTIFS('Test Case Mapping'!$E$2:$E$600,A52,'Test Case Mapping'!$I$2:$I$600,"Not run")</f>
        <v/>
      </c>
      <c r="N52" s="8">
        <f>IF(H52=0,"Not covered",IF(I52=H52,"Automated",IF(I52=0,"Manual only","Partly manual")))</f>
        <v/>
      </c>
      <c r="O52" s="8">
        <f>IF(H52=0,"Not run",IF(K52&gt;0,IF(J52&gt;0,"Partly failing","Fail"),IF(J52&gt;0,"Pass",IF(M52&gt;0,"Not run","Skipped"))))</f>
        <v/>
      </c>
      <c r="P52" s="8" t="inlineStr">
        <is>
          <t>—</t>
        </is>
      </c>
    </row>
    <row r="53">
      <c r="A53" s="8" t="inlineStr">
        <is>
          <t>REQ-RES-03</t>
        </is>
      </c>
      <c r="B53" s="7" t="inlineStr">
        <is>
          <t>Report modules</t>
        </is>
      </c>
      <c r="C53" s="7" t="inlineStr">
        <is>
          <t>Reservation Reports</t>
        </is>
      </c>
      <c r="D53" s="7" t="inlineStr">
        <is>
          <t>Period, default period and custom dates reload the report</t>
        </is>
      </c>
      <c r="E53" s="8" t="inlineStr">
        <is>
          <t>High</t>
        </is>
      </c>
      <c r="F53" s="7" t="inlineStr">
        <is>
          <t>Page tests (POM)</t>
        </is>
      </c>
      <c r="G53" s="7" t="inlineStr">
        <is>
          <t>RES-04…RES-06</t>
        </is>
      </c>
      <c r="H53" s="8">
        <f>COUNTIF('Test Case Mapping'!$E$2:$E$600,A53)</f>
        <v/>
      </c>
      <c r="I53" s="8">
        <f>COUNTIFS('Test Case Mapping'!$E$2:$E$600,A53,'Test Case Mapping'!$G$2:$G$600,"Yes")</f>
        <v/>
      </c>
      <c r="J53" s="8">
        <f>COUNTIFS('Test Case Mapping'!$E$2:$E$600,A53,'Test Case Mapping'!$I$2:$I$600,"Pass")</f>
        <v/>
      </c>
      <c r="K53" s="8">
        <f>COUNTIFS('Test Case Mapping'!$E$2:$E$600,A53,'Test Case Mapping'!$I$2:$I$600,"Fail")</f>
        <v/>
      </c>
      <c r="L53" s="8">
        <f>COUNTIFS('Test Case Mapping'!$E$2:$E$600,A53,'Test Case Mapping'!$I$2:$I$600,"Skipped")</f>
        <v/>
      </c>
      <c r="M53" s="8">
        <f>COUNTIFS('Test Case Mapping'!$E$2:$E$600,A53,'Test Case Mapping'!$I$2:$I$600,"Not run")</f>
        <v/>
      </c>
      <c r="N53" s="8">
        <f>IF(H53=0,"Not covered",IF(I53=H53,"Automated",IF(I53=0,"Manual only","Partly manual")))</f>
        <v/>
      </c>
      <c r="O53" s="8">
        <f>IF(H53=0,"Not run",IF(K53&gt;0,IF(J53&gt;0,"Partly failing","Fail"),IF(J53&gt;0,"Pass",IF(M53&gt;0,"Not run","Skipped"))))</f>
        <v/>
      </c>
      <c r="P53" s="8" t="inlineStr">
        <is>
          <t>DEF-01</t>
        </is>
      </c>
    </row>
    <row r="54">
      <c r="A54" s="8" t="inlineStr">
        <is>
          <t>REQ-RES-04</t>
        </is>
      </c>
      <c r="B54" s="7" t="inlineStr">
        <is>
          <t>Report modules</t>
        </is>
      </c>
      <c r="C54" s="7" t="inlineStr">
        <is>
          <t>Reservation Reports</t>
        </is>
      </c>
      <c r="D54" s="7" t="inlineStr">
        <is>
          <t>Filters and views narrow the results (All ≥ Team ≥ Mine); Reset restores them</t>
        </is>
      </c>
      <c r="E54" s="8" t="inlineStr">
        <is>
          <t>High</t>
        </is>
      </c>
      <c r="F54" s="7" t="inlineStr">
        <is>
          <t>Page tests (POM)</t>
        </is>
      </c>
      <c r="G54" s="7" t="inlineStr">
        <is>
          <t>RES-07…RES-09</t>
        </is>
      </c>
      <c r="H54" s="8">
        <f>COUNTIF('Test Case Mapping'!$E$2:$E$600,A54)</f>
        <v/>
      </c>
      <c r="I54" s="8">
        <f>COUNTIFS('Test Case Mapping'!$E$2:$E$600,A54,'Test Case Mapping'!$G$2:$G$600,"Yes")</f>
        <v/>
      </c>
      <c r="J54" s="8">
        <f>COUNTIFS('Test Case Mapping'!$E$2:$E$600,A54,'Test Case Mapping'!$I$2:$I$600,"Pass")</f>
        <v/>
      </c>
      <c r="K54" s="8">
        <f>COUNTIFS('Test Case Mapping'!$E$2:$E$600,A54,'Test Case Mapping'!$I$2:$I$600,"Fail")</f>
        <v/>
      </c>
      <c r="L54" s="8">
        <f>COUNTIFS('Test Case Mapping'!$E$2:$E$600,A54,'Test Case Mapping'!$I$2:$I$600,"Skipped")</f>
        <v/>
      </c>
      <c r="M54" s="8">
        <f>COUNTIFS('Test Case Mapping'!$E$2:$E$600,A54,'Test Case Mapping'!$I$2:$I$600,"Not run")</f>
        <v/>
      </c>
      <c r="N54" s="8">
        <f>IF(H54=0,"Not covered",IF(I54=H54,"Automated",IF(I54=0,"Manual only","Partly manual")))</f>
        <v/>
      </c>
      <c r="O54" s="8">
        <f>IF(H54=0,"Not run",IF(K54&gt;0,IF(J54&gt;0,"Partly failing","Fail"),IF(J54&gt;0,"Pass",IF(M54&gt;0,"Not run","Skipped"))))</f>
        <v/>
      </c>
      <c r="P54" s="8" t="inlineStr">
        <is>
          <t>—</t>
        </is>
      </c>
    </row>
    <row r="55">
      <c r="A55" s="8" t="inlineStr">
        <is>
          <t>REQ-RES-05</t>
        </is>
      </c>
      <c r="B55" s="7" t="inlineStr">
        <is>
          <t>Report modules</t>
        </is>
      </c>
      <c r="C55" s="7" t="inlineStr">
        <is>
          <t>Reservation Reports</t>
        </is>
      </c>
      <c r="D55" s="7" t="inlineStr">
        <is>
          <t>Panel exports match the tables on screen</t>
        </is>
      </c>
      <c r="E55" s="8" t="inlineStr">
        <is>
          <t>Medium</t>
        </is>
      </c>
      <c r="F55" s="7" t="inlineStr">
        <is>
          <t>Page tests (POM)</t>
        </is>
      </c>
      <c r="G55" s="7" t="inlineStr">
        <is>
          <t>RES-10</t>
        </is>
      </c>
      <c r="H55" s="8">
        <f>COUNTIF('Test Case Mapping'!$E$2:$E$600,A55)</f>
        <v/>
      </c>
      <c r="I55" s="8">
        <f>COUNTIFS('Test Case Mapping'!$E$2:$E$600,A55,'Test Case Mapping'!$G$2:$G$600,"Yes")</f>
        <v/>
      </c>
      <c r="J55" s="8">
        <f>COUNTIFS('Test Case Mapping'!$E$2:$E$600,A55,'Test Case Mapping'!$I$2:$I$600,"Pass")</f>
        <v/>
      </c>
      <c r="K55" s="8">
        <f>COUNTIFS('Test Case Mapping'!$E$2:$E$600,A55,'Test Case Mapping'!$I$2:$I$600,"Fail")</f>
        <v/>
      </c>
      <c r="L55" s="8">
        <f>COUNTIFS('Test Case Mapping'!$E$2:$E$600,A55,'Test Case Mapping'!$I$2:$I$600,"Skipped")</f>
        <v/>
      </c>
      <c r="M55" s="8">
        <f>COUNTIFS('Test Case Mapping'!$E$2:$E$600,A55,'Test Case Mapping'!$I$2:$I$600,"Not run")</f>
        <v/>
      </c>
      <c r="N55" s="8">
        <f>IF(H55=0,"Not covered",IF(I55=H55,"Automated",IF(I55=0,"Manual only","Partly manual")))</f>
        <v/>
      </c>
      <c r="O55" s="8">
        <f>IF(H55=0,"Not run",IF(K55&gt;0,IF(J55&gt;0,"Partly failing","Fail"),IF(J55&gt;0,"Pass",IF(M55&gt;0,"Not run","Skipped"))))</f>
        <v/>
      </c>
      <c r="P55" s="8" t="inlineStr">
        <is>
          <t>—</t>
        </is>
      </c>
    </row>
    <row r="56">
      <c r="A56" s="8" t="inlineStr">
        <is>
          <t>REQ-RES-06</t>
        </is>
      </c>
      <c r="B56" s="7" t="inlineStr">
        <is>
          <t>Report modules</t>
        </is>
      </c>
      <c r="C56" s="7" t="inlineStr">
        <is>
          <t>Reservation Reports</t>
        </is>
      </c>
      <c r="D56" s="7" t="inlineStr">
        <is>
          <t>Page calculations: tables add up to the KPIs, rates and averages are correct</t>
        </is>
      </c>
      <c r="E56" s="8" t="inlineStr">
        <is>
          <t>High</t>
        </is>
      </c>
      <c r="F56" s="7" t="inlineStr">
        <is>
          <t>Core suite, Page tests (POM)</t>
        </is>
      </c>
      <c r="G56" s="7" t="inlineStr">
        <is>
          <t>M-04, RES-12…RES-14</t>
        </is>
      </c>
      <c r="H56" s="8">
        <f>COUNTIF('Test Case Mapping'!$E$2:$E$600,A56)</f>
        <v/>
      </c>
      <c r="I56" s="8">
        <f>COUNTIFS('Test Case Mapping'!$E$2:$E$600,A56,'Test Case Mapping'!$G$2:$G$600,"Yes")</f>
        <v/>
      </c>
      <c r="J56" s="8">
        <f>COUNTIFS('Test Case Mapping'!$E$2:$E$600,A56,'Test Case Mapping'!$I$2:$I$600,"Pass")</f>
        <v/>
      </c>
      <c r="K56" s="8">
        <f>COUNTIFS('Test Case Mapping'!$E$2:$E$600,A56,'Test Case Mapping'!$I$2:$I$600,"Fail")</f>
        <v/>
      </c>
      <c r="L56" s="8">
        <f>COUNTIFS('Test Case Mapping'!$E$2:$E$600,A56,'Test Case Mapping'!$I$2:$I$600,"Skipped")</f>
        <v/>
      </c>
      <c r="M56" s="8">
        <f>COUNTIFS('Test Case Mapping'!$E$2:$E$600,A56,'Test Case Mapping'!$I$2:$I$600,"Not run")</f>
        <v/>
      </c>
      <c r="N56" s="8">
        <f>IF(H56=0,"Not covered",IF(I56=H56,"Automated",IF(I56=0,"Manual only","Partly manual")))</f>
        <v/>
      </c>
      <c r="O56" s="8">
        <f>IF(H56=0,"Not run",IF(K56&gt;0,IF(J56&gt;0,"Partly failing","Fail"),IF(J56&gt;0,"Pass",IF(M56&gt;0,"Not run","Skipped"))))</f>
        <v/>
      </c>
      <c r="P56" s="8" t="inlineStr">
        <is>
          <t>—</t>
        </is>
      </c>
    </row>
    <row r="57">
      <c r="A57" s="8" t="inlineStr">
        <is>
          <t>REQ-SPA-01</t>
        </is>
      </c>
      <c r="B57" s="7" t="inlineStr">
        <is>
          <t>Report modules</t>
        </is>
      </c>
      <c r="C57" s="7" t="inlineStr">
        <is>
          <t>SPA Reports</t>
        </is>
      </c>
      <c r="D57" s="7" t="inlineStr">
        <is>
          <t>Opens from its hub card; tab bar and breadcrumb work</t>
        </is>
      </c>
      <c r="E57" s="8" t="inlineStr">
        <is>
          <t>Medium</t>
        </is>
      </c>
      <c r="F57" s="7" t="inlineStr">
        <is>
          <t>Core suite, Page tests (POM)</t>
        </is>
      </c>
      <c r="G57" s="7" t="inlineStr">
        <is>
          <t>RA-MOD-08, SPA-01, SPA-11</t>
        </is>
      </c>
      <c r="H57" s="8">
        <f>COUNTIF('Test Case Mapping'!$E$2:$E$600,A57)</f>
        <v/>
      </c>
      <c r="I57" s="8">
        <f>COUNTIFS('Test Case Mapping'!$E$2:$E$600,A57,'Test Case Mapping'!$G$2:$G$600,"Yes")</f>
        <v/>
      </c>
      <c r="J57" s="8">
        <f>COUNTIFS('Test Case Mapping'!$E$2:$E$600,A57,'Test Case Mapping'!$I$2:$I$600,"Pass")</f>
        <v/>
      </c>
      <c r="K57" s="8">
        <f>COUNTIFS('Test Case Mapping'!$E$2:$E$600,A57,'Test Case Mapping'!$I$2:$I$600,"Fail")</f>
        <v/>
      </c>
      <c r="L57" s="8">
        <f>COUNTIFS('Test Case Mapping'!$E$2:$E$600,A57,'Test Case Mapping'!$I$2:$I$600,"Skipped")</f>
        <v/>
      </c>
      <c r="M57" s="8">
        <f>COUNTIFS('Test Case Mapping'!$E$2:$E$600,A57,'Test Case Mapping'!$I$2:$I$600,"Not run")</f>
        <v/>
      </c>
      <c r="N57" s="8">
        <f>IF(H57=0,"Not covered",IF(I57=H57,"Automated",IF(I57=0,"Manual only","Partly manual")))</f>
        <v/>
      </c>
      <c r="O57" s="8">
        <f>IF(H57=0,"Not run",IF(K57&gt;0,IF(J57&gt;0,"Partly failing","Fail"),IF(J57&gt;0,"Pass",IF(M57&gt;0,"Not run","Skipped"))))</f>
        <v/>
      </c>
      <c r="P57" s="8" t="inlineStr">
        <is>
          <t>—</t>
        </is>
      </c>
    </row>
    <row r="58">
      <c r="A58" s="8" t="inlineStr">
        <is>
          <t>REQ-SPA-02</t>
        </is>
      </c>
      <c r="B58" s="7" t="inlineStr">
        <is>
          <t>Report modules</t>
        </is>
      </c>
      <c r="C58" s="7" t="inlineStr">
        <is>
          <t>SPA Reports</t>
        </is>
      </c>
      <c r="D58" s="7" t="inlineStr">
        <is>
          <t>Every KPI card and table shows valid values without errors</t>
        </is>
      </c>
      <c r="E58" s="8" t="inlineStr">
        <is>
          <t>High</t>
        </is>
      </c>
      <c r="F58" s="7" t="inlineStr">
        <is>
          <t>Core suite, Page tests (POM)</t>
        </is>
      </c>
      <c r="G58" s="7" t="inlineStr">
        <is>
          <t>RM-08, SPA-02, SPA-03</t>
        </is>
      </c>
      <c r="H58" s="8">
        <f>COUNTIF('Test Case Mapping'!$E$2:$E$600,A58)</f>
        <v/>
      </c>
      <c r="I58" s="8">
        <f>COUNTIFS('Test Case Mapping'!$E$2:$E$600,A58,'Test Case Mapping'!$G$2:$G$600,"Yes")</f>
        <v/>
      </c>
      <c r="J58" s="8">
        <f>COUNTIFS('Test Case Mapping'!$E$2:$E$600,A58,'Test Case Mapping'!$I$2:$I$600,"Pass")</f>
        <v/>
      </c>
      <c r="K58" s="8">
        <f>COUNTIFS('Test Case Mapping'!$E$2:$E$600,A58,'Test Case Mapping'!$I$2:$I$600,"Fail")</f>
        <v/>
      </c>
      <c r="L58" s="8">
        <f>COUNTIFS('Test Case Mapping'!$E$2:$E$600,A58,'Test Case Mapping'!$I$2:$I$600,"Skipped")</f>
        <v/>
      </c>
      <c r="M58" s="8">
        <f>COUNTIFS('Test Case Mapping'!$E$2:$E$600,A58,'Test Case Mapping'!$I$2:$I$600,"Not run")</f>
        <v/>
      </c>
      <c r="N58" s="8">
        <f>IF(H58=0,"Not covered",IF(I58=H58,"Automated",IF(I58=0,"Manual only","Partly manual")))</f>
        <v/>
      </c>
      <c r="O58" s="8">
        <f>IF(H58=0,"Not run",IF(K58&gt;0,IF(J58&gt;0,"Partly failing","Fail"),IF(J58&gt;0,"Pass",IF(M58&gt;0,"Not run","Skipped"))))</f>
        <v/>
      </c>
      <c r="P58" s="8" t="inlineStr">
        <is>
          <t>—</t>
        </is>
      </c>
    </row>
    <row r="59">
      <c r="A59" s="8" t="inlineStr">
        <is>
          <t>REQ-SPA-03</t>
        </is>
      </c>
      <c r="B59" s="7" t="inlineStr">
        <is>
          <t>Report modules</t>
        </is>
      </c>
      <c r="C59" s="7" t="inlineStr">
        <is>
          <t>SPA Reports</t>
        </is>
      </c>
      <c r="D59" s="7" t="inlineStr">
        <is>
          <t>Period, default period and custom dates reload the report</t>
        </is>
      </c>
      <c r="E59" s="8" t="inlineStr">
        <is>
          <t>High</t>
        </is>
      </c>
      <c r="F59" s="7" t="inlineStr">
        <is>
          <t>Page tests (POM)</t>
        </is>
      </c>
      <c r="G59" s="7" t="inlineStr">
        <is>
          <t>SPA-04…SPA-06</t>
        </is>
      </c>
      <c r="H59" s="8">
        <f>COUNTIF('Test Case Mapping'!$E$2:$E$600,A59)</f>
        <v/>
      </c>
      <c r="I59" s="8">
        <f>COUNTIFS('Test Case Mapping'!$E$2:$E$600,A59,'Test Case Mapping'!$G$2:$G$600,"Yes")</f>
        <v/>
      </c>
      <c r="J59" s="8">
        <f>COUNTIFS('Test Case Mapping'!$E$2:$E$600,A59,'Test Case Mapping'!$I$2:$I$600,"Pass")</f>
        <v/>
      </c>
      <c r="K59" s="8">
        <f>COUNTIFS('Test Case Mapping'!$E$2:$E$600,A59,'Test Case Mapping'!$I$2:$I$600,"Fail")</f>
        <v/>
      </c>
      <c r="L59" s="8">
        <f>COUNTIFS('Test Case Mapping'!$E$2:$E$600,A59,'Test Case Mapping'!$I$2:$I$600,"Skipped")</f>
        <v/>
      </c>
      <c r="M59" s="8">
        <f>COUNTIFS('Test Case Mapping'!$E$2:$E$600,A59,'Test Case Mapping'!$I$2:$I$600,"Not run")</f>
        <v/>
      </c>
      <c r="N59" s="8">
        <f>IF(H59=0,"Not covered",IF(I59=H59,"Automated",IF(I59=0,"Manual only","Partly manual")))</f>
        <v/>
      </c>
      <c r="O59" s="8">
        <f>IF(H59=0,"Not run",IF(K59&gt;0,IF(J59&gt;0,"Partly failing","Fail"),IF(J59&gt;0,"Pass",IF(M59&gt;0,"Not run","Skipped"))))</f>
        <v/>
      </c>
      <c r="P59" s="8" t="inlineStr">
        <is>
          <t>DEF-01</t>
        </is>
      </c>
    </row>
    <row r="60">
      <c r="A60" s="8" t="inlineStr">
        <is>
          <t>REQ-SPA-04</t>
        </is>
      </c>
      <c r="B60" s="7" t="inlineStr">
        <is>
          <t>Report modules</t>
        </is>
      </c>
      <c r="C60" s="7" t="inlineStr">
        <is>
          <t>SPA Reports</t>
        </is>
      </c>
      <c r="D60" s="7" t="inlineStr">
        <is>
          <t>Filters and views narrow the results (All ≥ Team ≥ Mine); Reset restores them</t>
        </is>
      </c>
      <c r="E60" s="8" t="inlineStr">
        <is>
          <t>High</t>
        </is>
      </c>
      <c r="F60" s="7" t="inlineStr">
        <is>
          <t>Page tests (POM)</t>
        </is>
      </c>
      <c r="G60" s="7" t="inlineStr">
        <is>
          <t>SPA-07…SPA-09</t>
        </is>
      </c>
      <c r="H60" s="8">
        <f>COUNTIF('Test Case Mapping'!$E$2:$E$600,A60)</f>
        <v/>
      </c>
      <c r="I60" s="8">
        <f>COUNTIFS('Test Case Mapping'!$E$2:$E$600,A60,'Test Case Mapping'!$G$2:$G$600,"Yes")</f>
        <v/>
      </c>
      <c r="J60" s="8">
        <f>COUNTIFS('Test Case Mapping'!$E$2:$E$600,A60,'Test Case Mapping'!$I$2:$I$600,"Pass")</f>
        <v/>
      </c>
      <c r="K60" s="8">
        <f>COUNTIFS('Test Case Mapping'!$E$2:$E$600,A60,'Test Case Mapping'!$I$2:$I$600,"Fail")</f>
        <v/>
      </c>
      <c r="L60" s="8">
        <f>COUNTIFS('Test Case Mapping'!$E$2:$E$600,A60,'Test Case Mapping'!$I$2:$I$600,"Skipped")</f>
        <v/>
      </c>
      <c r="M60" s="8">
        <f>COUNTIFS('Test Case Mapping'!$E$2:$E$600,A60,'Test Case Mapping'!$I$2:$I$600,"Not run")</f>
        <v/>
      </c>
      <c r="N60" s="8">
        <f>IF(H60=0,"Not covered",IF(I60=H60,"Automated",IF(I60=0,"Manual only","Partly manual")))</f>
        <v/>
      </c>
      <c r="O60" s="8">
        <f>IF(H60=0,"Not run",IF(K60&gt;0,IF(J60&gt;0,"Partly failing","Fail"),IF(J60&gt;0,"Pass",IF(M60&gt;0,"Not run","Skipped"))))</f>
        <v/>
      </c>
      <c r="P60" s="8" t="inlineStr">
        <is>
          <t>—</t>
        </is>
      </c>
    </row>
    <row r="61">
      <c r="A61" s="8" t="inlineStr">
        <is>
          <t>REQ-SPA-05</t>
        </is>
      </c>
      <c r="B61" s="7" t="inlineStr">
        <is>
          <t>Report modules</t>
        </is>
      </c>
      <c r="C61" s="7" t="inlineStr">
        <is>
          <t>SPA Reports</t>
        </is>
      </c>
      <c r="D61" s="7" t="inlineStr">
        <is>
          <t>Panel exports match the tables on screen</t>
        </is>
      </c>
      <c r="E61" s="8" t="inlineStr">
        <is>
          <t>Medium</t>
        </is>
      </c>
      <c r="F61" s="7" t="inlineStr">
        <is>
          <t>Page tests (POM)</t>
        </is>
      </c>
      <c r="G61" s="7" t="inlineStr">
        <is>
          <t>SPA-10</t>
        </is>
      </c>
      <c r="H61" s="8">
        <f>COUNTIF('Test Case Mapping'!$E$2:$E$600,A61)</f>
        <v/>
      </c>
      <c r="I61" s="8">
        <f>COUNTIFS('Test Case Mapping'!$E$2:$E$600,A61,'Test Case Mapping'!$G$2:$G$600,"Yes")</f>
        <v/>
      </c>
      <c r="J61" s="8">
        <f>COUNTIFS('Test Case Mapping'!$E$2:$E$600,A61,'Test Case Mapping'!$I$2:$I$600,"Pass")</f>
        <v/>
      </c>
      <c r="K61" s="8">
        <f>COUNTIFS('Test Case Mapping'!$E$2:$E$600,A61,'Test Case Mapping'!$I$2:$I$600,"Fail")</f>
        <v/>
      </c>
      <c r="L61" s="8">
        <f>COUNTIFS('Test Case Mapping'!$E$2:$E$600,A61,'Test Case Mapping'!$I$2:$I$600,"Skipped")</f>
        <v/>
      </c>
      <c r="M61" s="8">
        <f>COUNTIFS('Test Case Mapping'!$E$2:$E$600,A61,'Test Case Mapping'!$I$2:$I$600,"Not run")</f>
        <v/>
      </c>
      <c r="N61" s="8">
        <f>IF(H61=0,"Not covered",IF(I61=H61,"Automated",IF(I61=0,"Manual only","Partly manual")))</f>
        <v/>
      </c>
      <c r="O61" s="8">
        <f>IF(H61=0,"Not run",IF(K61&gt;0,IF(J61&gt;0,"Partly failing","Fail"),IF(J61&gt;0,"Pass",IF(M61&gt;0,"Not run","Skipped"))))</f>
        <v/>
      </c>
      <c r="P61" s="8" t="inlineStr">
        <is>
          <t>—</t>
        </is>
      </c>
    </row>
    <row r="62">
      <c r="A62" s="8" t="inlineStr">
        <is>
          <t>REQ-SPA-06</t>
        </is>
      </c>
      <c r="B62" s="7" t="inlineStr">
        <is>
          <t>Report modules</t>
        </is>
      </c>
      <c r="C62" s="7" t="inlineStr">
        <is>
          <t>SPA Reports</t>
        </is>
      </c>
      <c r="D62" s="7" t="inlineStr">
        <is>
          <t>Page calculations: tables add up to the KPIs, rates and averages are correct</t>
        </is>
      </c>
      <c r="E62" s="8" t="inlineStr">
        <is>
          <t>High</t>
        </is>
      </c>
      <c r="F62" s="7" t="inlineStr">
        <is>
          <t>Core suite, Page tests (POM)</t>
        </is>
      </c>
      <c r="G62" s="7" t="inlineStr">
        <is>
          <t>M-05, SPA-12, SPA-13</t>
        </is>
      </c>
      <c r="H62" s="8">
        <f>COUNTIF('Test Case Mapping'!$E$2:$E$600,A62)</f>
        <v/>
      </c>
      <c r="I62" s="8">
        <f>COUNTIFS('Test Case Mapping'!$E$2:$E$600,A62,'Test Case Mapping'!$G$2:$G$600,"Yes")</f>
        <v/>
      </c>
      <c r="J62" s="8">
        <f>COUNTIFS('Test Case Mapping'!$E$2:$E$600,A62,'Test Case Mapping'!$I$2:$I$600,"Pass")</f>
        <v/>
      </c>
      <c r="K62" s="8">
        <f>COUNTIFS('Test Case Mapping'!$E$2:$E$600,A62,'Test Case Mapping'!$I$2:$I$600,"Fail")</f>
        <v/>
      </c>
      <c r="L62" s="8">
        <f>COUNTIFS('Test Case Mapping'!$E$2:$E$600,A62,'Test Case Mapping'!$I$2:$I$600,"Skipped")</f>
        <v/>
      </c>
      <c r="M62" s="8">
        <f>COUNTIFS('Test Case Mapping'!$E$2:$E$600,A62,'Test Case Mapping'!$I$2:$I$600,"Not run")</f>
        <v/>
      </c>
      <c r="N62" s="8">
        <f>IF(H62=0,"Not covered",IF(I62=H62,"Automated",IF(I62=0,"Manual only","Partly manual")))</f>
        <v/>
      </c>
      <c r="O62" s="8">
        <f>IF(H62=0,"Not run",IF(K62&gt;0,IF(J62&gt;0,"Partly failing","Fail"),IF(J62&gt;0,"Pass",IF(M62&gt;0,"Not run","Skipped"))))</f>
        <v/>
      </c>
      <c r="P62" s="8" t="inlineStr">
        <is>
          <t>—</t>
        </is>
      </c>
    </row>
    <row r="63">
      <c r="A63" s="8" t="inlineStr">
        <is>
          <t>REQ-COL-01</t>
        </is>
      </c>
      <c r="B63" s="7" t="inlineStr">
        <is>
          <t>Report modules</t>
        </is>
      </c>
      <c r="C63" s="7" t="inlineStr">
        <is>
          <t>Collection Reports</t>
        </is>
      </c>
      <c r="D63" s="7" t="inlineStr">
        <is>
          <t>Opens from its hub card; tab bar and breadcrumb work</t>
        </is>
      </c>
      <c r="E63" s="8" t="inlineStr">
        <is>
          <t>Medium</t>
        </is>
      </c>
      <c r="F63" s="7" t="inlineStr">
        <is>
          <t>Core suite, Page tests (POM)</t>
        </is>
      </c>
      <c r="G63" s="7" t="inlineStr">
        <is>
          <t>COL-01, COL-11, RA-MOD-09</t>
        </is>
      </c>
      <c r="H63" s="8">
        <f>COUNTIF('Test Case Mapping'!$E$2:$E$600,A63)</f>
        <v/>
      </c>
      <c r="I63" s="8">
        <f>COUNTIFS('Test Case Mapping'!$E$2:$E$600,A63,'Test Case Mapping'!$G$2:$G$600,"Yes")</f>
        <v/>
      </c>
      <c r="J63" s="8">
        <f>COUNTIFS('Test Case Mapping'!$E$2:$E$600,A63,'Test Case Mapping'!$I$2:$I$600,"Pass")</f>
        <v/>
      </c>
      <c r="K63" s="8">
        <f>COUNTIFS('Test Case Mapping'!$E$2:$E$600,A63,'Test Case Mapping'!$I$2:$I$600,"Fail")</f>
        <v/>
      </c>
      <c r="L63" s="8">
        <f>COUNTIFS('Test Case Mapping'!$E$2:$E$600,A63,'Test Case Mapping'!$I$2:$I$600,"Skipped")</f>
        <v/>
      </c>
      <c r="M63" s="8">
        <f>COUNTIFS('Test Case Mapping'!$E$2:$E$600,A63,'Test Case Mapping'!$I$2:$I$600,"Not run")</f>
        <v/>
      </c>
      <c r="N63" s="8">
        <f>IF(H63=0,"Not covered",IF(I63=H63,"Automated",IF(I63=0,"Manual only","Partly manual")))</f>
        <v/>
      </c>
      <c r="O63" s="8">
        <f>IF(H63=0,"Not run",IF(K63&gt;0,IF(J63&gt;0,"Partly failing","Fail"),IF(J63&gt;0,"Pass",IF(M63&gt;0,"Not run","Skipped"))))</f>
        <v/>
      </c>
      <c r="P63" s="8" t="inlineStr">
        <is>
          <t>—</t>
        </is>
      </c>
    </row>
    <row r="64">
      <c r="A64" s="8" t="inlineStr">
        <is>
          <t>REQ-COL-02</t>
        </is>
      </c>
      <c r="B64" s="7" t="inlineStr">
        <is>
          <t>Report modules</t>
        </is>
      </c>
      <c r="C64" s="7" t="inlineStr">
        <is>
          <t>Collection Reports</t>
        </is>
      </c>
      <c r="D64" s="7" t="inlineStr">
        <is>
          <t>Every KPI card and table shows valid values without errors</t>
        </is>
      </c>
      <c r="E64" s="8" t="inlineStr">
        <is>
          <t>High</t>
        </is>
      </c>
      <c r="F64" s="7" t="inlineStr">
        <is>
          <t>Core suite, Page tests (POM)</t>
        </is>
      </c>
      <c r="G64" s="7" t="inlineStr">
        <is>
          <t>COL-02, COL-03, RM-09</t>
        </is>
      </c>
      <c r="H64" s="8">
        <f>COUNTIF('Test Case Mapping'!$E$2:$E$600,A64)</f>
        <v/>
      </c>
      <c r="I64" s="8">
        <f>COUNTIFS('Test Case Mapping'!$E$2:$E$600,A64,'Test Case Mapping'!$G$2:$G$600,"Yes")</f>
        <v/>
      </c>
      <c r="J64" s="8">
        <f>COUNTIFS('Test Case Mapping'!$E$2:$E$600,A64,'Test Case Mapping'!$I$2:$I$600,"Pass")</f>
        <v/>
      </c>
      <c r="K64" s="8">
        <f>COUNTIFS('Test Case Mapping'!$E$2:$E$600,A64,'Test Case Mapping'!$I$2:$I$600,"Fail")</f>
        <v/>
      </c>
      <c r="L64" s="8">
        <f>COUNTIFS('Test Case Mapping'!$E$2:$E$600,A64,'Test Case Mapping'!$I$2:$I$600,"Skipped")</f>
        <v/>
      </c>
      <c r="M64" s="8">
        <f>COUNTIFS('Test Case Mapping'!$E$2:$E$600,A64,'Test Case Mapping'!$I$2:$I$600,"Not run")</f>
        <v/>
      </c>
      <c r="N64" s="8">
        <f>IF(H64=0,"Not covered",IF(I64=H64,"Automated",IF(I64=0,"Manual only","Partly manual")))</f>
        <v/>
      </c>
      <c r="O64" s="8">
        <f>IF(H64=0,"Not run",IF(K64&gt;0,IF(J64&gt;0,"Partly failing","Fail"),IF(J64&gt;0,"Pass",IF(M64&gt;0,"Not run","Skipped"))))</f>
        <v/>
      </c>
      <c r="P64" s="8" t="inlineStr">
        <is>
          <t>—</t>
        </is>
      </c>
    </row>
    <row r="65">
      <c r="A65" s="8" t="inlineStr">
        <is>
          <t>REQ-COL-03</t>
        </is>
      </c>
      <c r="B65" s="7" t="inlineStr">
        <is>
          <t>Report modules</t>
        </is>
      </c>
      <c r="C65" s="7" t="inlineStr">
        <is>
          <t>Collection Reports</t>
        </is>
      </c>
      <c r="D65" s="7" t="inlineStr">
        <is>
          <t>Period, default period and custom dates reload the report</t>
        </is>
      </c>
      <c r="E65" s="8" t="inlineStr">
        <is>
          <t>High</t>
        </is>
      </c>
      <c r="F65" s="7" t="inlineStr">
        <is>
          <t>Page tests (POM)</t>
        </is>
      </c>
      <c r="G65" s="7" t="inlineStr">
        <is>
          <t>COL-04…COL-06</t>
        </is>
      </c>
      <c r="H65" s="8">
        <f>COUNTIF('Test Case Mapping'!$E$2:$E$600,A65)</f>
        <v/>
      </c>
      <c r="I65" s="8">
        <f>COUNTIFS('Test Case Mapping'!$E$2:$E$600,A65,'Test Case Mapping'!$G$2:$G$600,"Yes")</f>
        <v/>
      </c>
      <c r="J65" s="8">
        <f>COUNTIFS('Test Case Mapping'!$E$2:$E$600,A65,'Test Case Mapping'!$I$2:$I$600,"Pass")</f>
        <v/>
      </c>
      <c r="K65" s="8">
        <f>COUNTIFS('Test Case Mapping'!$E$2:$E$600,A65,'Test Case Mapping'!$I$2:$I$600,"Fail")</f>
        <v/>
      </c>
      <c r="L65" s="8">
        <f>COUNTIFS('Test Case Mapping'!$E$2:$E$600,A65,'Test Case Mapping'!$I$2:$I$600,"Skipped")</f>
        <v/>
      </c>
      <c r="M65" s="8">
        <f>COUNTIFS('Test Case Mapping'!$E$2:$E$600,A65,'Test Case Mapping'!$I$2:$I$600,"Not run")</f>
        <v/>
      </c>
      <c r="N65" s="8">
        <f>IF(H65=0,"Not covered",IF(I65=H65,"Automated",IF(I65=0,"Manual only","Partly manual")))</f>
        <v/>
      </c>
      <c r="O65" s="8">
        <f>IF(H65=0,"Not run",IF(K65&gt;0,IF(J65&gt;0,"Partly failing","Fail"),IF(J65&gt;0,"Pass",IF(M65&gt;0,"Not run","Skipped"))))</f>
        <v/>
      </c>
      <c r="P65" s="8" t="inlineStr">
        <is>
          <t>DEF-01</t>
        </is>
      </c>
    </row>
    <row r="66">
      <c r="A66" s="8" t="inlineStr">
        <is>
          <t>REQ-COL-04</t>
        </is>
      </c>
      <c r="B66" s="7" t="inlineStr">
        <is>
          <t>Report modules</t>
        </is>
      </c>
      <c r="C66" s="7" t="inlineStr">
        <is>
          <t>Collection Reports</t>
        </is>
      </c>
      <c r="D66" s="7" t="inlineStr">
        <is>
          <t>Filters and views narrow the results (All ≥ Team ≥ Mine); Reset restores them</t>
        </is>
      </c>
      <c r="E66" s="8" t="inlineStr">
        <is>
          <t>High</t>
        </is>
      </c>
      <c r="F66" s="7" t="inlineStr">
        <is>
          <t>Page tests (POM)</t>
        </is>
      </c>
      <c r="G66" s="7" t="inlineStr">
        <is>
          <t>COL-07…COL-09</t>
        </is>
      </c>
      <c r="H66" s="8">
        <f>COUNTIF('Test Case Mapping'!$E$2:$E$600,A66)</f>
        <v/>
      </c>
      <c r="I66" s="8">
        <f>COUNTIFS('Test Case Mapping'!$E$2:$E$600,A66,'Test Case Mapping'!$G$2:$G$600,"Yes")</f>
        <v/>
      </c>
      <c r="J66" s="8">
        <f>COUNTIFS('Test Case Mapping'!$E$2:$E$600,A66,'Test Case Mapping'!$I$2:$I$600,"Pass")</f>
        <v/>
      </c>
      <c r="K66" s="8">
        <f>COUNTIFS('Test Case Mapping'!$E$2:$E$600,A66,'Test Case Mapping'!$I$2:$I$600,"Fail")</f>
        <v/>
      </c>
      <c r="L66" s="8">
        <f>COUNTIFS('Test Case Mapping'!$E$2:$E$600,A66,'Test Case Mapping'!$I$2:$I$600,"Skipped")</f>
        <v/>
      </c>
      <c r="M66" s="8">
        <f>COUNTIFS('Test Case Mapping'!$E$2:$E$600,A66,'Test Case Mapping'!$I$2:$I$600,"Not run")</f>
        <v/>
      </c>
      <c r="N66" s="8">
        <f>IF(H66=0,"Not covered",IF(I66=H66,"Automated",IF(I66=0,"Manual only","Partly manual")))</f>
        <v/>
      </c>
      <c r="O66" s="8">
        <f>IF(H66=0,"Not run",IF(K66&gt;0,IF(J66&gt;0,"Partly failing","Fail"),IF(J66&gt;0,"Pass",IF(M66&gt;0,"Not run","Skipped"))))</f>
        <v/>
      </c>
      <c r="P66" s="8" t="inlineStr">
        <is>
          <t>—</t>
        </is>
      </c>
    </row>
    <row r="67">
      <c r="A67" s="8" t="inlineStr">
        <is>
          <t>REQ-COL-05</t>
        </is>
      </c>
      <c r="B67" s="7" t="inlineStr">
        <is>
          <t>Report modules</t>
        </is>
      </c>
      <c r="C67" s="7" t="inlineStr">
        <is>
          <t>Collection Reports</t>
        </is>
      </c>
      <c r="D67" s="7" t="inlineStr">
        <is>
          <t>Panel exports match the tables on screen</t>
        </is>
      </c>
      <c r="E67" s="8" t="inlineStr">
        <is>
          <t>Medium</t>
        </is>
      </c>
      <c r="F67" s="7" t="inlineStr">
        <is>
          <t>Page tests (POM)</t>
        </is>
      </c>
      <c r="G67" s="7" t="inlineStr">
        <is>
          <t>COL-10</t>
        </is>
      </c>
      <c r="H67" s="8">
        <f>COUNTIF('Test Case Mapping'!$E$2:$E$600,A67)</f>
        <v/>
      </c>
      <c r="I67" s="8">
        <f>COUNTIFS('Test Case Mapping'!$E$2:$E$600,A67,'Test Case Mapping'!$G$2:$G$600,"Yes")</f>
        <v/>
      </c>
      <c r="J67" s="8">
        <f>COUNTIFS('Test Case Mapping'!$E$2:$E$600,A67,'Test Case Mapping'!$I$2:$I$600,"Pass")</f>
        <v/>
      </c>
      <c r="K67" s="8">
        <f>COUNTIFS('Test Case Mapping'!$E$2:$E$600,A67,'Test Case Mapping'!$I$2:$I$600,"Fail")</f>
        <v/>
      </c>
      <c r="L67" s="8">
        <f>COUNTIFS('Test Case Mapping'!$E$2:$E$600,A67,'Test Case Mapping'!$I$2:$I$600,"Skipped")</f>
        <v/>
      </c>
      <c r="M67" s="8">
        <f>COUNTIFS('Test Case Mapping'!$E$2:$E$600,A67,'Test Case Mapping'!$I$2:$I$600,"Not run")</f>
        <v/>
      </c>
      <c r="N67" s="8">
        <f>IF(H67=0,"Not covered",IF(I67=H67,"Automated",IF(I67=0,"Manual only","Partly manual")))</f>
        <v/>
      </c>
      <c r="O67" s="8">
        <f>IF(H67=0,"Not run",IF(K67&gt;0,IF(J67&gt;0,"Partly failing","Fail"),IF(J67&gt;0,"Pass",IF(M67&gt;0,"Not run","Skipped"))))</f>
        <v/>
      </c>
      <c r="P67" s="8" t="inlineStr">
        <is>
          <t>—</t>
        </is>
      </c>
    </row>
    <row r="68">
      <c r="A68" s="8" t="inlineStr">
        <is>
          <t>REQ-COL-06</t>
        </is>
      </c>
      <c r="B68" s="7" t="inlineStr">
        <is>
          <t>Report modules</t>
        </is>
      </c>
      <c r="C68" s="7" t="inlineStr">
        <is>
          <t>Collection Reports</t>
        </is>
      </c>
      <c r="D68" s="7" t="inlineStr">
        <is>
          <t>Page calculations: tables add up to the KPIs, rates and averages are correct</t>
        </is>
      </c>
      <c r="E68" s="8" t="inlineStr">
        <is>
          <t>High</t>
        </is>
      </c>
      <c r="F68" s="7" t="inlineStr">
        <is>
          <t>Core suite, Page tests (POM)</t>
        </is>
      </c>
      <c r="G68" s="7" t="inlineStr">
        <is>
          <t>COL-12…COL-14, M-03</t>
        </is>
      </c>
      <c r="H68" s="8">
        <f>COUNTIF('Test Case Mapping'!$E$2:$E$600,A68)</f>
        <v/>
      </c>
      <c r="I68" s="8">
        <f>COUNTIFS('Test Case Mapping'!$E$2:$E$600,A68,'Test Case Mapping'!$G$2:$G$600,"Yes")</f>
        <v/>
      </c>
      <c r="J68" s="8">
        <f>COUNTIFS('Test Case Mapping'!$E$2:$E$600,A68,'Test Case Mapping'!$I$2:$I$600,"Pass")</f>
        <v/>
      </c>
      <c r="K68" s="8">
        <f>COUNTIFS('Test Case Mapping'!$E$2:$E$600,A68,'Test Case Mapping'!$I$2:$I$600,"Fail")</f>
        <v/>
      </c>
      <c r="L68" s="8">
        <f>COUNTIFS('Test Case Mapping'!$E$2:$E$600,A68,'Test Case Mapping'!$I$2:$I$600,"Skipped")</f>
        <v/>
      </c>
      <c r="M68" s="8">
        <f>COUNTIFS('Test Case Mapping'!$E$2:$E$600,A68,'Test Case Mapping'!$I$2:$I$600,"Not run")</f>
        <v/>
      </c>
      <c r="N68" s="8">
        <f>IF(H68=0,"Not covered",IF(I68=H68,"Automated",IF(I68=0,"Manual only","Partly manual")))</f>
        <v/>
      </c>
      <c r="O68" s="8">
        <f>IF(H68=0,"Not run",IF(K68&gt;0,IF(J68&gt;0,"Partly failing","Fail"),IF(J68&gt;0,"Pass",IF(M68&gt;0,"Not run","Skipped"))))</f>
        <v/>
      </c>
      <c r="P68" s="8" t="inlineStr">
        <is>
          <t>DEF-07</t>
        </is>
      </c>
    </row>
    <row r="69">
      <c r="A69" s="8" t="inlineStr">
        <is>
          <t>REQ-EXC-01</t>
        </is>
      </c>
      <c r="B69" s="7" t="inlineStr">
        <is>
          <t>Report modules</t>
        </is>
      </c>
      <c r="C69" s="7" t="inlineStr">
        <is>
          <t>Exception Reports</t>
        </is>
      </c>
      <c r="D69" s="7" t="inlineStr">
        <is>
          <t>Opens from its hub card; tab bar and breadcrumb work</t>
        </is>
      </c>
      <c r="E69" s="8" t="inlineStr">
        <is>
          <t>Medium</t>
        </is>
      </c>
      <c r="F69" s="7" t="inlineStr">
        <is>
          <t>Core suite, Page tests (POM)</t>
        </is>
      </c>
      <c r="G69" s="7" t="inlineStr">
        <is>
          <t>EXC-01, EXC-11, RA-MOD-11</t>
        </is>
      </c>
      <c r="H69" s="8">
        <f>COUNTIF('Test Case Mapping'!$E$2:$E$600,A69)</f>
        <v/>
      </c>
      <c r="I69" s="8">
        <f>COUNTIFS('Test Case Mapping'!$E$2:$E$600,A69,'Test Case Mapping'!$G$2:$G$600,"Yes")</f>
        <v/>
      </c>
      <c r="J69" s="8">
        <f>COUNTIFS('Test Case Mapping'!$E$2:$E$600,A69,'Test Case Mapping'!$I$2:$I$600,"Pass")</f>
        <v/>
      </c>
      <c r="K69" s="8">
        <f>COUNTIFS('Test Case Mapping'!$E$2:$E$600,A69,'Test Case Mapping'!$I$2:$I$600,"Fail")</f>
        <v/>
      </c>
      <c r="L69" s="8">
        <f>COUNTIFS('Test Case Mapping'!$E$2:$E$600,A69,'Test Case Mapping'!$I$2:$I$600,"Skipped")</f>
        <v/>
      </c>
      <c r="M69" s="8">
        <f>COUNTIFS('Test Case Mapping'!$E$2:$E$600,A69,'Test Case Mapping'!$I$2:$I$600,"Not run")</f>
        <v/>
      </c>
      <c r="N69" s="8">
        <f>IF(H69=0,"Not covered",IF(I69=H69,"Automated",IF(I69=0,"Manual only","Partly manual")))</f>
        <v/>
      </c>
      <c r="O69" s="8">
        <f>IF(H69=0,"Not run",IF(K69&gt;0,IF(J69&gt;0,"Partly failing","Fail"),IF(J69&gt;0,"Pass",IF(M69&gt;0,"Not run","Skipped"))))</f>
        <v/>
      </c>
      <c r="P69" s="8" t="inlineStr">
        <is>
          <t>—</t>
        </is>
      </c>
    </row>
    <row r="70">
      <c r="A70" s="8" t="inlineStr">
        <is>
          <t>REQ-EXC-02</t>
        </is>
      </c>
      <c r="B70" s="7" t="inlineStr">
        <is>
          <t>Report modules</t>
        </is>
      </c>
      <c r="C70" s="7" t="inlineStr">
        <is>
          <t>Exception Reports</t>
        </is>
      </c>
      <c r="D70" s="7" t="inlineStr">
        <is>
          <t>Every KPI card and table shows valid values without errors</t>
        </is>
      </c>
      <c r="E70" s="8" t="inlineStr">
        <is>
          <t>High</t>
        </is>
      </c>
      <c r="F70" s="7" t="inlineStr">
        <is>
          <t>Core suite, Page tests (POM)</t>
        </is>
      </c>
      <c r="G70" s="7" t="inlineStr">
        <is>
          <t>EXC-02, EXC-03, RM-10</t>
        </is>
      </c>
      <c r="H70" s="8">
        <f>COUNTIF('Test Case Mapping'!$E$2:$E$600,A70)</f>
        <v/>
      </c>
      <c r="I70" s="8">
        <f>COUNTIFS('Test Case Mapping'!$E$2:$E$600,A70,'Test Case Mapping'!$G$2:$G$600,"Yes")</f>
        <v/>
      </c>
      <c r="J70" s="8">
        <f>COUNTIFS('Test Case Mapping'!$E$2:$E$600,A70,'Test Case Mapping'!$I$2:$I$600,"Pass")</f>
        <v/>
      </c>
      <c r="K70" s="8">
        <f>COUNTIFS('Test Case Mapping'!$E$2:$E$600,A70,'Test Case Mapping'!$I$2:$I$600,"Fail")</f>
        <v/>
      </c>
      <c r="L70" s="8">
        <f>COUNTIFS('Test Case Mapping'!$E$2:$E$600,A70,'Test Case Mapping'!$I$2:$I$600,"Skipped")</f>
        <v/>
      </c>
      <c r="M70" s="8">
        <f>COUNTIFS('Test Case Mapping'!$E$2:$E$600,A70,'Test Case Mapping'!$I$2:$I$600,"Not run")</f>
        <v/>
      </c>
      <c r="N70" s="8">
        <f>IF(H70=0,"Not covered",IF(I70=H70,"Automated",IF(I70=0,"Manual only","Partly manual")))</f>
        <v/>
      </c>
      <c r="O70" s="8">
        <f>IF(H70=0,"Not run",IF(K70&gt;0,IF(J70&gt;0,"Partly failing","Fail"),IF(J70&gt;0,"Pass",IF(M70&gt;0,"Not run","Skipped"))))</f>
        <v/>
      </c>
      <c r="P70" s="8" t="inlineStr">
        <is>
          <t>—</t>
        </is>
      </c>
    </row>
    <row r="71">
      <c r="A71" s="8" t="inlineStr">
        <is>
          <t>REQ-EXC-03</t>
        </is>
      </c>
      <c r="B71" s="7" t="inlineStr">
        <is>
          <t>Report modules</t>
        </is>
      </c>
      <c r="C71" s="7" t="inlineStr">
        <is>
          <t>Exception Reports</t>
        </is>
      </c>
      <c r="D71" s="7" t="inlineStr">
        <is>
          <t>Period, default period and custom dates reload the report</t>
        </is>
      </c>
      <c r="E71" s="8" t="inlineStr">
        <is>
          <t>High</t>
        </is>
      </c>
      <c r="F71" s="7" t="inlineStr">
        <is>
          <t>Page tests (POM)</t>
        </is>
      </c>
      <c r="G71" s="7" t="inlineStr">
        <is>
          <t>EXC-04…EXC-06</t>
        </is>
      </c>
      <c r="H71" s="8">
        <f>COUNTIF('Test Case Mapping'!$E$2:$E$600,A71)</f>
        <v/>
      </c>
      <c r="I71" s="8">
        <f>COUNTIFS('Test Case Mapping'!$E$2:$E$600,A71,'Test Case Mapping'!$G$2:$G$600,"Yes")</f>
        <v/>
      </c>
      <c r="J71" s="8">
        <f>COUNTIFS('Test Case Mapping'!$E$2:$E$600,A71,'Test Case Mapping'!$I$2:$I$600,"Pass")</f>
        <v/>
      </c>
      <c r="K71" s="8">
        <f>COUNTIFS('Test Case Mapping'!$E$2:$E$600,A71,'Test Case Mapping'!$I$2:$I$600,"Fail")</f>
        <v/>
      </c>
      <c r="L71" s="8">
        <f>COUNTIFS('Test Case Mapping'!$E$2:$E$600,A71,'Test Case Mapping'!$I$2:$I$600,"Skipped")</f>
        <v/>
      </c>
      <c r="M71" s="8">
        <f>COUNTIFS('Test Case Mapping'!$E$2:$E$600,A71,'Test Case Mapping'!$I$2:$I$600,"Not run")</f>
        <v/>
      </c>
      <c r="N71" s="8">
        <f>IF(H71=0,"Not covered",IF(I71=H71,"Automated",IF(I71=0,"Manual only","Partly manual")))</f>
        <v/>
      </c>
      <c r="O71" s="8">
        <f>IF(H71=0,"Not run",IF(K71&gt;0,IF(J71&gt;0,"Partly failing","Fail"),IF(J71&gt;0,"Pass",IF(M71&gt;0,"Not run","Skipped"))))</f>
        <v/>
      </c>
      <c r="P71" s="8" t="inlineStr">
        <is>
          <t>DEF-01</t>
        </is>
      </c>
    </row>
    <row r="72">
      <c r="A72" s="8" t="inlineStr">
        <is>
          <t>REQ-EXC-04</t>
        </is>
      </c>
      <c r="B72" s="7" t="inlineStr">
        <is>
          <t>Report modules</t>
        </is>
      </c>
      <c r="C72" s="7" t="inlineStr">
        <is>
          <t>Exception Reports</t>
        </is>
      </c>
      <c r="D72" s="7" t="inlineStr">
        <is>
          <t>Filters and views narrow the results (All ≥ Team ≥ Mine); Reset restores them</t>
        </is>
      </c>
      <c r="E72" s="8" t="inlineStr">
        <is>
          <t>High</t>
        </is>
      </c>
      <c r="F72" s="7" t="inlineStr">
        <is>
          <t>Page tests (POM)</t>
        </is>
      </c>
      <c r="G72" s="7" t="inlineStr">
        <is>
          <t>EXC-07…EXC-09</t>
        </is>
      </c>
      <c r="H72" s="8">
        <f>COUNTIF('Test Case Mapping'!$E$2:$E$600,A72)</f>
        <v/>
      </c>
      <c r="I72" s="8">
        <f>COUNTIFS('Test Case Mapping'!$E$2:$E$600,A72,'Test Case Mapping'!$G$2:$G$600,"Yes")</f>
        <v/>
      </c>
      <c r="J72" s="8">
        <f>COUNTIFS('Test Case Mapping'!$E$2:$E$600,A72,'Test Case Mapping'!$I$2:$I$600,"Pass")</f>
        <v/>
      </c>
      <c r="K72" s="8">
        <f>COUNTIFS('Test Case Mapping'!$E$2:$E$600,A72,'Test Case Mapping'!$I$2:$I$600,"Fail")</f>
        <v/>
      </c>
      <c r="L72" s="8">
        <f>COUNTIFS('Test Case Mapping'!$E$2:$E$600,A72,'Test Case Mapping'!$I$2:$I$600,"Skipped")</f>
        <v/>
      </c>
      <c r="M72" s="8">
        <f>COUNTIFS('Test Case Mapping'!$E$2:$E$600,A72,'Test Case Mapping'!$I$2:$I$600,"Not run")</f>
        <v/>
      </c>
      <c r="N72" s="8">
        <f>IF(H72=0,"Not covered",IF(I72=H72,"Automated",IF(I72=0,"Manual only","Partly manual")))</f>
        <v/>
      </c>
      <c r="O72" s="8">
        <f>IF(H72=0,"Not run",IF(K72&gt;0,IF(J72&gt;0,"Partly failing","Fail"),IF(J72&gt;0,"Pass",IF(M72&gt;0,"Not run","Skipped"))))</f>
        <v/>
      </c>
      <c r="P72" s="8" t="inlineStr">
        <is>
          <t>—</t>
        </is>
      </c>
    </row>
    <row r="73">
      <c r="A73" s="8" t="inlineStr">
        <is>
          <t>REQ-EXC-05</t>
        </is>
      </c>
      <c r="B73" s="7" t="inlineStr">
        <is>
          <t>Report modules</t>
        </is>
      </c>
      <c r="C73" s="7" t="inlineStr">
        <is>
          <t>Exception Reports</t>
        </is>
      </c>
      <c r="D73" s="7" t="inlineStr">
        <is>
          <t>Panel exports match the tables on screen</t>
        </is>
      </c>
      <c r="E73" s="8" t="inlineStr">
        <is>
          <t>Medium</t>
        </is>
      </c>
      <c r="F73" s="7" t="inlineStr">
        <is>
          <t>Page tests (POM)</t>
        </is>
      </c>
      <c r="G73" s="7" t="inlineStr">
        <is>
          <t>EXC-10</t>
        </is>
      </c>
      <c r="H73" s="8">
        <f>COUNTIF('Test Case Mapping'!$E$2:$E$600,A73)</f>
        <v/>
      </c>
      <c r="I73" s="8">
        <f>COUNTIFS('Test Case Mapping'!$E$2:$E$600,A73,'Test Case Mapping'!$G$2:$G$600,"Yes")</f>
        <v/>
      </c>
      <c r="J73" s="8">
        <f>COUNTIFS('Test Case Mapping'!$E$2:$E$600,A73,'Test Case Mapping'!$I$2:$I$600,"Pass")</f>
        <v/>
      </c>
      <c r="K73" s="8">
        <f>COUNTIFS('Test Case Mapping'!$E$2:$E$600,A73,'Test Case Mapping'!$I$2:$I$600,"Fail")</f>
        <v/>
      </c>
      <c r="L73" s="8">
        <f>COUNTIFS('Test Case Mapping'!$E$2:$E$600,A73,'Test Case Mapping'!$I$2:$I$600,"Skipped")</f>
        <v/>
      </c>
      <c r="M73" s="8">
        <f>COUNTIFS('Test Case Mapping'!$E$2:$E$600,A73,'Test Case Mapping'!$I$2:$I$600,"Not run")</f>
        <v/>
      </c>
      <c r="N73" s="8">
        <f>IF(H73=0,"Not covered",IF(I73=H73,"Automated",IF(I73=0,"Manual only","Partly manual")))</f>
        <v/>
      </c>
      <c r="O73" s="8">
        <f>IF(H73=0,"Not run",IF(K73&gt;0,IF(J73&gt;0,"Partly failing","Fail"),IF(J73&gt;0,"Pass",IF(M73&gt;0,"Not run","Skipped"))))</f>
        <v/>
      </c>
      <c r="P73" s="8" t="inlineStr">
        <is>
          <t>—</t>
        </is>
      </c>
    </row>
    <row r="74">
      <c r="A74" s="8" t="inlineStr">
        <is>
          <t>REQ-EXC-06</t>
        </is>
      </c>
      <c r="B74" s="7" t="inlineStr">
        <is>
          <t>Report modules</t>
        </is>
      </c>
      <c r="C74" s="7" t="inlineStr">
        <is>
          <t>Exception Reports</t>
        </is>
      </c>
      <c r="D74" s="7" t="inlineStr">
        <is>
          <t>Page calculations: tables add up to the KPIs, rates and averages are correct</t>
        </is>
      </c>
      <c r="E74" s="8" t="inlineStr">
        <is>
          <t>High</t>
        </is>
      </c>
      <c r="F74" s="7" t="inlineStr">
        <is>
          <t>Core suite, Page tests (POM)</t>
        </is>
      </c>
      <c r="G74" s="7" t="inlineStr">
        <is>
          <t>EXC-12…EXC-15, M-07</t>
        </is>
      </c>
      <c r="H74" s="8">
        <f>COUNTIF('Test Case Mapping'!$E$2:$E$600,A74)</f>
        <v/>
      </c>
      <c r="I74" s="8">
        <f>COUNTIFS('Test Case Mapping'!$E$2:$E$600,A74,'Test Case Mapping'!$G$2:$G$600,"Yes")</f>
        <v/>
      </c>
      <c r="J74" s="8">
        <f>COUNTIFS('Test Case Mapping'!$E$2:$E$600,A74,'Test Case Mapping'!$I$2:$I$600,"Pass")</f>
        <v/>
      </c>
      <c r="K74" s="8">
        <f>COUNTIFS('Test Case Mapping'!$E$2:$E$600,A74,'Test Case Mapping'!$I$2:$I$600,"Fail")</f>
        <v/>
      </c>
      <c r="L74" s="8">
        <f>COUNTIFS('Test Case Mapping'!$E$2:$E$600,A74,'Test Case Mapping'!$I$2:$I$600,"Skipped")</f>
        <v/>
      </c>
      <c r="M74" s="8">
        <f>COUNTIFS('Test Case Mapping'!$E$2:$E$600,A74,'Test Case Mapping'!$I$2:$I$600,"Not run")</f>
        <v/>
      </c>
      <c r="N74" s="8">
        <f>IF(H74=0,"Not covered",IF(I74=H74,"Automated",IF(I74=0,"Manual only","Partly manual")))</f>
        <v/>
      </c>
      <c r="O74" s="8">
        <f>IF(H74=0,"Not run",IF(K74&gt;0,IF(J74&gt;0,"Partly failing","Fail"),IF(J74&gt;0,"Pass",IF(M74&gt;0,"Not run","Skipped"))))</f>
        <v/>
      </c>
      <c r="P74" s="8" t="inlineStr">
        <is>
          <t>—</t>
        </is>
      </c>
    </row>
    <row r="75">
      <c r="A75" s="8" t="inlineStr">
        <is>
          <t>REQ-EXE-01</t>
        </is>
      </c>
      <c r="B75" s="7" t="inlineStr">
        <is>
          <t>Report modules</t>
        </is>
      </c>
      <c r="C75" s="7" t="inlineStr">
        <is>
          <t>Executive Reports (dashboard)</t>
        </is>
      </c>
      <c r="D75" s="7" t="inlineStr">
        <is>
          <t>Opens from its hub card</t>
        </is>
      </c>
      <c r="E75" s="8" t="inlineStr">
        <is>
          <t>Medium</t>
        </is>
      </c>
      <c r="F75" s="7" t="inlineStr">
        <is>
          <t>Core suite, Page tests (POM)</t>
        </is>
      </c>
      <c r="G75" s="7" t="inlineStr">
        <is>
          <t>EXE-01, RA-MOD-10</t>
        </is>
      </c>
      <c r="H75" s="8">
        <f>COUNTIF('Test Case Mapping'!$E$2:$E$600,A75)</f>
        <v/>
      </c>
      <c r="I75" s="8">
        <f>COUNTIFS('Test Case Mapping'!$E$2:$E$600,A75,'Test Case Mapping'!$G$2:$G$600,"Yes")</f>
        <v/>
      </c>
      <c r="J75" s="8">
        <f>COUNTIFS('Test Case Mapping'!$E$2:$E$600,A75,'Test Case Mapping'!$I$2:$I$600,"Pass")</f>
        <v/>
      </c>
      <c r="K75" s="8">
        <f>COUNTIFS('Test Case Mapping'!$E$2:$E$600,A75,'Test Case Mapping'!$I$2:$I$600,"Fail")</f>
        <v/>
      </c>
      <c r="L75" s="8">
        <f>COUNTIFS('Test Case Mapping'!$E$2:$E$600,A75,'Test Case Mapping'!$I$2:$I$600,"Skipped")</f>
        <v/>
      </c>
      <c r="M75" s="8">
        <f>COUNTIFS('Test Case Mapping'!$E$2:$E$600,A75,'Test Case Mapping'!$I$2:$I$600,"Not run")</f>
        <v/>
      </c>
      <c r="N75" s="8">
        <f>IF(H75=0,"Not covered",IF(I75=H75,"Automated",IF(I75=0,"Manual only","Partly manual")))</f>
        <v/>
      </c>
      <c r="O75" s="8">
        <f>IF(H75=0,"Not run",IF(K75&gt;0,IF(J75&gt;0,"Partly failing","Fail"),IF(J75&gt;0,"Pass",IF(M75&gt;0,"Not run","Skipped"))))</f>
        <v/>
      </c>
      <c r="P75" s="8" t="inlineStr">
        <is>
          <t>—</t>
        </is>
      </c>
    </row>
    <row r="76">
      <c r="A76" s="8" t="inlineStr">
        <is>
          <t>REQ-EXE-02</t>
        </is>
      </c>
      <c r="B76" s="7" t="inlineStr">
        <is>
          <t>Report modules</t>
        </is>
      </c>
      <c r="C76" s="7" t="inlineStr">
        <is>
          <t>Executive Reports (dashboard)</t>
        </is>
      </c>
      <c r="D76" s="7" t="inlineStr">
        <is>
          <t>Every KPI and panel shows valid values without errors</t>
        </is>
      </c>
      <c r="E76" s="8" t="inlineStr">
        <is>
          <t>High</t>
        </is>
      </c>
      <c r="F76" s="7" t="inlineStr">
        <is>
          <t>Core suite, Page tests (POM)</t>
        </is>
      </c>
      <c r="G76" s="7" t="inlineStr">
        <is>
          <t>EXE-02, EXE-03, RM-11</t>
        </is>
      </c>
      <c r="H76" s="8">
        <f>COUNTIF('Test Case Mapping'!$E$2:$E$600,A76)</f>
        <v/>
      </c>
      <c r="I76" s="8">
        <f>COUNTIFS('Test Case Mapping'!$E$2:$E$600,A76,'Test Case Mapping'!$G$2:$G$600,"Yes")</f>
        <v/>
      </c>
      <c r="J76" s="8">
        <f>COUNTIFS('Test Case Mapping'!$E$2:$E$600,A76,'Test Case Mapping'!$I$2:$I$600,"Pass")</f>
        <v/>
      </c>
      <c r="K76" s="8">
        <f>COUNTIFS('Test Case Mapping'!$E$2:$E$600,A76,'Test Case Mapping'!$I$2:$I$600,"Fail")</f>
        <v/>
      </c>
      <c r="L76" s="8">
        <f>COUNTIFS('Test Case Mapping'!$E$2:$E$600,A76,'Test Case Mapping'!$I$2:$I$600,"Skipped")</f>
        <v/>
      </c>
      <c r="M76" s="8">
        <f>COUNTIFS('Test Case Mapping'!$E$2:$E$600,A76,'Test Case Mapping'!$I$2:$I$600,"Not run")</f>
        <v/>
      </c>
      <c r="N76" s="8">
        <f>IF(H76=0,"Not covered",IF(I76=H76,"Automated",IF(I76=0,"Manual only","Partly manual")))</f>
        <v/>
      </c>
      <c r="O76" s="8">
        <f>IF(H76=0,"Not run",IF(K76&gt;0,IF(J76&gt;0,"Partly failing","Fail"),IF(J76&gt;0,"Pass",IF(M76&gt;0,"Not run","Skipped"))))</f>
        <v/>
      </c>
      <c r="P76" s="8" t="inlineStr">
        <is>
          <t>—</t>
        </is>
      </c>
    </row>
    <row r="77">
      <c r="A77" s="8" t="inlineStr">
        <is>
          <t>REQ-EXE-03</t>
        </is>
      </c>
      <c r="B77" s="7" t="inlineStr">
        <is>
          <t>Report modules</t>
        </is>
      </c>
      <c r="C77" s="7" t="inlineStr">
        <is>
          <t>Executive Reports (dashboard)</t>
        </is>
      </c>
      <c r="D77" s="7" t="inlineStr">
        <is>
          <t>Every period reloads the dashboard; the Lead Dashboard view works</t>
        </is>
      </c>
      <c r="E77" s="8" t="inlineStr">
        <is>
          <t>High</t>
        </is>
      </c>
      <c r="F77" s="7" t="inlineStr">
        <is>
          <t>Page tests (POM)</t>
        </is>
      </c>
      <c r="G77" s="7" t="inlineStr">
        <is>
          <t>EXE-04, EXE-05</t>
        </is>
      </c>
      <c r="H77" s="8">
        <f>COUNTIF('Test Case Mapping'!$E$2:$E$600,A77)</f>
        <v/>
      </c>
      <c r="I77" s="8">
        <f>COUNTIFS('Test Case Mapping'!$E$2:$E$600,A77,'Test Case Mapping'!$G$2:$G$600,"Yes")</f>
        <v/>
      </c>
      <c r="J77" s="8">
        <f>COUNTIFS('Test Case Mapping'!$E$2:$E$600,A77,'Test Case Mapping'!$I$2:$I$600,"Pass")</f>
        <v/>
      </c>
      <c r="K77" s="8">
        <f>COUNTIFS('Test Case Mapping'!$E$2:$E$600,A77,'Test Case Mapping'!$I$2:$I$600,"Fail")</f>
        <v/>
      </c>
      <c r="L77" s="8">
        <f>COUNTIFS('Test Case Mapping'!$E$2:$E$600,A77,'Test Case Mapping'!$I$2:$I$600,"Skipped")</f>
        <v/>
      </c>
      <c r="M77" s="8">
        <f>COUNTIFS('Test Case Mapping'!$E$2:$E$600,A77,'Test Case Mapping'!$I$2:$I$600,"Not run")</f>
        <v/>
      </c>
      <c r="N77" s="8">
        <f>IF(H77=0,"Not covered",IF(I77=H77,"Automated",IF(I77=0,"Manual only","Partly manual")))</f>
        <v/>
      </c>
      <c r="O77" s="8">
        <f>IF(H77=0,"Not run",IF(K77&gt;0,IF(J77&gt;0,"Partly failing","Fail"),IF(J77&gt;0,"Pass",IF(M77&gt;0,"Not run","Skipped"))))</f>
        <v/>
      </c>
      <c r="P77" s="8" t="inlineStr">
        <is>
          <t>—</t>
        </is>
      </c>
    </row>
    <row r="78">
      <c r="A78" s="8" t="inlineStr">
        <is>
          <t>REQ-EXE-04</t>
        </is>
      </c>
      <c r="B78" s="7" t="inlineStr">
        <is>
          <t>Report modules</t>
        </is>
      </c>
      <c r="C78" s="7" t="inlineStr">
        <is>
          <t>Executive Reports (dashboard)</t>
        </is>
      </c>
      <c r="D78" s="7" t="inlineStr">
        <is>
          <t>KPIs agree with the hub snapshot and the Collections Summary, and open their records</t>
        </is>
      </c>
      <c r="E78" s="8" t="inlineStr">
        <is>
          <t>High</t>
        </is>
      </c>
      <c r="F78" s="7" t="inlineStr">
        <is>
          <t>Page tests (POM)</t>
        </is>
      </c>
      <c r="G78" s="7" t="inlineStr">
        <is>
          <t>EXE-06…EXE-08</t>
        </is>
      </c>
      <c r="H78" s="8">
        <f>COUNTIF('Test Case Mapping'!$E$2:$E$600,A78)</f>
        <v/>
      </c>
      <c r="I78" s="8">
        <f>COUNTIFS('Test Case Mapping'!$E$2:$E$600,A78,'Test Case Mapping'!$G$2:$G$600,"Yes")</f>
        <v/>
      </c>
      <c r="J78" s="8">
        <f>COUNTIFS('Test Case Mapping'!$E$2:$E$600,A78,'Test Case Mapping'!$I$2:$I$600,"Pass")</f>
        <v/>
      </c>
      <c r="K78" s="8">
        <f>COUNTIFS('Test Case Mapping'!$E$2:$E$600,A78,'Test Case Mapping'!$I$2:$I$600,"Fail")</f>
        <v/>
      </c>
      <c r="L78" s="8">
        <f>COUNTIFS('Test Case Mapping'!$E$2:$E$600,A78,'Test Case Mapping'!$I$2:$I$600,"Skipped")</f>
        <v/>
      </c>
      <c r="M78" s="8">
        <f>COUNTIFS('Test Case Mapping'!$E$2:$E$600,A78,'Test Case Mapping'!$I$2:$I$600,"Not run")</f>
        <v/>
      </c>
      <c r="N78" s="8">
        <f>IF(H78=0,"Not covered",IF(I78=H78,"Automated",IF(I78=0,"Manual only","Partly manual")))</f>
        <v/>
      </c>
      <c r="O78" s="8">
        <f>IF(H78=0,"Not run",IF(K78&gt;0,IF(J78&gt;0,"Partly failing","Fail"),IF(J78&gt;0,"Pass",IF(M78&gt;0,"Not run","Skipped"))))</f>
        <v/>
      </c>
      <c r="P78" s="8" t="inlineStr">
        <is>
          <t>—</t>
        </is>
      </c>
    </row>
    <row r="79">
      <c r="A79" s="8" t="inlineStr">
        <is>
          <t>REQ-X-01</t>
        </is>
      </c>
      <c r="B79" s="7" t="inlineStr">
        <is>
          <t>Cross-page consistency</t>
        </is>
      </c>
      <c r="C79" s="7" t="inlineStr">
        <is>
          <t>Hub, dashboard and report modules</t>
        </is>
      </c>
      <c r="D79" s="7" t="inlineStr">
        <is>
          <t>The same metric shows the same value on every page that displays it</t>
        </is>
      </c>
      <c r="E79" s="8" t="inlineStr">
        <is>
          <t>High</t>
        </is>
      </c>
      <c r="F79" s="7" t="inlineStr">
        <is>
          <t>Core suite</t>
        </is>
      </c>
      <c r="G79" s="7" t="inlineStr">
        <is>
          <t>L-10, M-01, X-01…X-16</t>
        </is>
      </c>
      <c r="H79" s="8">
        <f>COUNTIF('Test Case Mapping'!$E$2:$E$600,A79)</f>
        <v/>
      </c>
      <c r="I79" s="8">
        <f>COUNTIFS('Test Case Mapping'!$E$2:$E$600,A79,'Test Case Mapping'!$G$2:$G$600,"Yes")</f>
        <v/>
      </c>
      <c r="J79" s="8">
        <f>COUNTIFS('Test Case Mapping'!$E$2:$E$600,A79,'Test Case Mapping'!$I$2:$I$600,"Pass")</f>
        <v/>
      </c>
      <c r="K79" s="8">
        <f>COUNTIFS('Test Case Mapping'!$E$2:$E$600,A79,'Test Case Mapping'!$I$2:$I$600,"Fail")</f>
        <v/>
      </c>
      <c r="L79" s="8">
        <f>COUNTIFS('Test Case Mapping'!$E$2:$E$600,A79,'Test Case Mapping'!$I$2:$I$600,"Skipped")</f>
        <v/>
      </c>
      <c r="M79" s="8">
        <f>COUNTIFS('Test Case Mapping'!$E$2:$E$600,A79,'Test Case Mapping'!$I$2:$I$600,"Not run")</f>
        <v/>
      </c>
      <c r="N79" s="8">
        <f>IF(H79=0,"Not covered",IF(I79=H79,"Automated",IF(I79=0,"Manual only","Partly manual")))</f>
        <v/>
      </c>
      <c r="O79" s="8">
        <f>IF(H79=0,"Not run",IF(K79&gt;0,IF(J79&gt;0,"Partly failing","Fail"),IF(J79&gt;0,"Pass",IF(M79&gt;0,"Not run","Skipped"))))</f>
        <v/>
      </c>
      <c r="P79" s="8" t="inlineStr">
        <is>
          <t>DEF-02, DEF-03, DEF-04, DEF-05, DEF-06</t>
        </is>
      </c>
    </row>
    <row r="80">
      <c r="A80" s="8" t="inlineStr">
        <is>
          <t>REQ-X-02</t>
        </is>
      </c>
      <c r="B80" s="7" t="inlineStr">
        <is>
          <t>Cross-page consistency</t>
        </is>
      </c>
      <c r="C80" s="7" t="inlineStr">
        <is>
          <t>All report pages</t>
        </is>
      </c>
      <c r="D80" s="7" t="inlineStr">
        <is>
          <t>Report figures match the database (read-only QA database)</t>
        </is>
      </c>
      <c r="E80" s="8" t="inlineStr">
        <is>
          <t>High</t>
        </is>
      </c>
      <c r="F80" s="7" t="inlineStr">
        <is>
          <t>Database checks</t>
        </is>
      </c>
      <c r="G80" s="7" t="inlineStr">
        <is>
          <t>DB-L-01…DB-L-10, DB-RA-01…DB-RA-08</t>
        </is>
      </c>
      <c r="H80" s="8">
        <f>COUNTIF('Test Case Mapping'!$E$2:$E$600,A80)</f>
        <v/>
      </c>
      <c r="I80" s="8">
        <f>COUNTIFS('Test Case Mapping'!$E$2:$E$600,A80,'Test Case Mapping'!$G$2:$G$600,"Yes")</f>
        <v/>
      </c>
      <c r="J80" s="8">
        <f>COUNTIFS('Test Case Mapping'!$E$2:$E$600,A80,'Test Case Mapping'!$I$2:$I$600,"Pass")</f>
        <v/>
      </c>
      <c r="K80" s="8">
        <f>COUNTIFS('Test Case Mapping'!$E$2:$E$600,A80,'Test Case Mapping'!$I$2:$I$600,"Fail")</f>
        <v/>
      </c>
      <c r="L80" s="8">
        <f>COUNTIFS('Test Case Mapping'!$E$2:$E$600,A80,'Test Case Mapping'!$I$2:$I$600,"Skipped")</f>
        <v/>
      </c>
      <c r="M80" s="8">
        <f>COUNTIFS('Test Case Mapping'!$E$2:$E$600,A80,'Test Case Mapping'!$I$2:$I$600,"Not run")</f>
        <v/>
      </c>
      <c r="N80" s="8">
        <f>IF(H80=0,"Not covered",IF(I80=H80,"Automated",IF(I80=0,"Manual only","Partly manual")))</f>
        <v/>
      </c>
      <c r="O80" s="8">
        <f>IF(H80=0,"Not run",IF(K80&gt;0,IF(J80&gt;0,"Partly failing","Fail"),IF(J80&gt;0,"Pass",IF(M80&gt;0,"Not run","Skipped"))))</f>
        <v/>
      </c>
      <c r="P80" s="8" t="inlineStr">
        <is>
          <t>—</t>
        </is>
      </c>
    </row>
    <row r="81">
      <c r="A81" s="8" t="inlineStr">
        <is>
          <t>REQ-LEADS-01</t>
        </is>
      </c>
      <c r="B81" s="7" t="inlineStr">
        <is>
          <t>Leads page (source data)</t>
        </is>
      </c>
      <c r="C81" s="7" t="inlineStr">
        <is>
          <t>Leads</t>
        </is>
      </c>
      <c r="D81" s="7" t="inlineStr">
        <is>
          <t>Leads page counts agree: Total card, tab badges, pager, Assigned / Unassigned, Individual / Corporate, statuses</t>
        </is>
      </c>
      <c r="E81" s="8" t="inlineStr">
        <is>
          <t>High</t>
        </is>
      </c>
      <c r="F81" s="7" t="inlineStr">
        <is>
          <t>Core suite</t>
        </is>
      </c>
      <c r="G81" s="7" t="inlineStr">
        <is>
          <t>L-01…L-03, L-04.1, L-04.2, L-04.3, L-04.4, L-05, L-06</t>
        </is>
      </c>
      <c r="H81" s="8">
        <f>COUNTIF('Test Case Mapping'!$E$2:$E$600,A81)</f>
        <v/>
      </c>
      <c r="I81" s="8">
        <f>COUNTIFS('Test Case Mapping'!$E$2:$E$600,A81,'Test Case Mapping'!$G$2:$G$600,"Yes")</f>
        <v/>
      </c>
      <c r="J81" s="8">
        <f>COUNTIFS('Test Case Mapping'!$E$2:$E$600,A81,'Test Case Mapping'!$I$2:$I$600,"Pass")</f>
        <v/>
      </c>
      <c r="K81" s="8">
        <f>COUNTIFS('Test Case Mapping'!$E$2:$E$600,A81,'Test Case Mapping'!$I$2:$I$600,"Fail")</f>
        <v/>
      </c>
      <c r="L81" s="8">
        <f>COUNTIFS('Test Case Mapping'!$E$2:$E$600,A81,'Test Case Mapping'!$I$2:$I$600,"Skipped")</f>
        <v/>
      </c>
      <c r="M81" s="8">
        <f>COUNTIFS('Test Case Mapping'!$E$2:$E$600,A81,'Test Case Mapping'!$I$2:$I$600,"Not run")</f>
        <v/>
      </c>
      <c r="N81" s="8">
        <f>IF(H81=0,"Not covered",IF(I81=H81,"Automated",IF(I81=0,"Manual only","Partly manual")))</f>
        <v/>
      </c>
      <c r="O81" s="8">
        <f>IF(H81=0,"Not run",IF(K81&gt;0,IF(J81&gt;0,"Partly failing","Fail"),IF(J81&gt;0,"Pass",IF(M81&gt;0,"Not run","Skipped"))))</f>
        <v/>
      </c>
      <c r="P81" s="8" t="inlineStr">
        <is>
          <t>—</t>
        </is>
      </c>
    </row>
    <row r="82">
      <c r="A82" s="8" t="inlineStr">
        <is>
          <t>REQ-LEADS-02</t>
        </is>
      </c>
      <c r="B82" s="7" t="inlineStr">
        <is>
          <t>Leads page (source data)</t>
        </is>
      </c>
      <c r="C82" s="7" t="inlineStr">
        <is>
          <t>Leads</t>
        </is>
      </c>
      <c r="D82" s="7" t="inlineStr">
        <is>
          <t>Leads search, pagination and export return the right rows</t>
        </is>
      </c>
      <c r="E82" s="8" t="inlineStr">
        <is>
          <t>Medium</t>
        </is>
      </c>
      <c r="F82" s="7" t="inlineStr">
        <is>
          <t>Core suite</t>
        </is>
      </c>
      <c r="G82" s="7" t="inlineStr">
        <is>
          <t>L-07…L-09</t>
        </is>
      </c>
      <c r="H82" s="8">
        <f>COUNTIF('Test Case Mapping'!$E$2:$E$600,A82)</f>
        <v/>
      </c>
      <c r="I82" s="8">
        <f>COUNTIFS('Test Case Mapping'!$E$2:$E$600,A82,'Test Case Mapping'!$G$2:$G$600,"Yes")</f>
        <v/>
      </c>
      <c r="J82" s="8">
        <f>COUNTIFS('Test Case Mapping'!$E$2:$E$600,A82,'Test Case Mapping'!$I$2:$I$600,"Pass")</f>
        <v/>
      </c>
      <c r="K82" s="8">
        <f>COUNTIFS('Test Case Mapping'!$E$2:$E$600,A82,'Test Case Mapping'!$I$2:$I$600,"Fail")</f>
        <v/>
      </c>
      <c r="L82" s="8">
        <f>COUNTIFS('Test Case Mapping'!$E$2:$E$600,A82,'Test Case Mapping'!$I$2:$I$600,"Skipped")</f>
        <v/>
      </c>
      <c r="M82" s="8">
        <f>COUNTIFS('Test Case Mapping'!$E$2:$E$600,A82,'Test Case Mapping'!$I$2:$I$600,"Not run")</f>
        <v/>
      </c>
      <c r="N82" s="8">
        <f>IF(H82=0,"Not covered",IF(I82=H82,"Automated",IF(I82=0,"Manual only","Partly manual")))</f>
        <v/>
      </c>
      <c r="O82" s="8">
        <f>IF(H82=0,"Not run",IF(K82&gt;0,IF(J82&gt;0,"Partly failing","Fail"),IF(J82&gt;0,"Pass",IF(M82&gt;0,"Not run","Skipped"))))</f>
        <v/>
      </c>
      <c r="P82" s="8" t="inlineStr">
        <is>
          <t>—</t>
        </is>
      </c>
    </row>
    <row r="83">
      <c r="A83" s="8" t="inlineStr">
        <is>
          <t>REQ-SC-01</t>
        </is>
      </c>
      <c r="B83" s="7" t="inlineStr">
        <is>
          <t>Business scenarios (workbook)</t>
        </is>
      </c>
      <c r="C83" s="7" t="inlineStr">
        <is>
          <t>Business scenarios (all pages)</t>
        </is>
      </c>
      <c r="D83" s="7" t="inlineStr">
        <is>
          <t>Executive Snapshot / KPI Validation (scenarios from Reports_Analytics_Test_Scenarios.xlsx)</t>
        </is>
      </c>
      <c r="E83" s="8" t="inlineStr">
        <is>
          <t>Medium</t>
        </is>
      </c>
      <c r="F83" s="7" t="inlineStr">
        <is>
          <t>Scenarios workbook</t>
        </is>
      </c>
      <c r="G83" s="7" t="inlineStr">
        <is>
          <t>RA-001…RA-012</t>
        </is>
      </c>
      <c r="H83" s="8">
        <f>COUNTIF('Test Case Mapping'!$E$2:$E$600,A83)</f>
        <v/>
      </c>
      <c r="I83" s="8">
        <f>COUNTIFS('Test Case Mapping'!$E$2:$E$600,A83,'Test Case Mapping'!$G$2:$G$600,"Yes")</f>
        <v/>
      </c>
      <c r="J83" s="8">
        <f>COUNTIFS('Test Case Mapping'!$E$2:$E$600,A83,'Test Case Mapping'!$I$2:$I$600,"Pass")</f>
        <v/>
      </c>
      <c r="K83" s="8">
        <f>COUNTIFS('Test Case Mapping'!$E$2:$E$600,A83,'Test Case Mapping'!$I$2:$I$600,"Fail")</f>
        <v/>
      </c>
      <c r="L83" s="8">
        <f>COUNTIFS('Test Case Mapping'!$E$2:$E$600,A83,'Test Case Mapping'!$I$2:$I$600,"Skipped")</f>
        <v/>
      </c>
      <c r="M83" s="8">
        <f>COUNTIFS('Test Case Mapping'!$E$2:$E$600,A83,'Test Case Mapping'!$I$2:$I$600,"Not run")</f>
        <v/>
      </c>
      <c r="N83" s="8">
        <f>IF(H83=0,"Not covered",IF(I83=H83,"Automated",IF(I83=0,"Manual only","Partly manual")))</f>
        <v/>
      </c>
      <c r="O83" s="8">
        <f>IF(H83=0,"Not run",IF(K83&gt;0,IF(J83&gt;0,"Partly failing","Fail"),IF(J83&gt;0,"Pass",IF(M83&gt;0,"Not run","Skipped"))))</f>
        <v/>
      </c>
      <c r="P83" s="8" t="inlineStr">
        <is>
          <t>DEF-02, DEF-03, DEF-04</t>
        </is>
      </c>
    </row>
    <row r="84">
      <c r="A84" s="8" t="inlineStr">
        <is>
          <t>REQ-SC-02</t>
        </is>
      </c>
      <c r="B84" s="7" t="inlineStr">
        <is>
          <t>Business scenarios (workbook)</t>
        </is>
      </c>
      <c r="C84" s="7" t="inlineStr">
        <is>
          <t>Business scenarios (all pages)</t>
        </is>
      </c>
      <c r="D84" s="7" t="inlineStr">
        <is>
          <t>Reporting Period Scenarios (scenarios from Reports_Analytics_Test_Scenarios.xlsx)</t>
        </is>
      </c>
      <c r="E84" s="8" t="inlineStr">
        <is>
          <t>Medium</t>
        </is>
      </c>
      <c r="F84" s="7" t="inlineStr">
        <is>
          <t>Scenarios workbook</t>
        </is>
      </c>
      <c r="G84" s="7" t="inlineStr">
        <is>
          <t>RA-013…RA-018</t>
        </is>
      </c>
      <c r="H84" s="8">
        <f>COUNTIF('Test Case Mapping'!$E$2:$E$600,A84)</f>
        <v/>
      </c>
      <c r="I84" s="8">
        <f>COUNTIFS('Test Case Mapping'!$E$2:$E$600,A84,'Test Case Mapping'!$G$2:$G$600,"Yes")</f>
        <v/>
      </c>
      <c r="J84" s="8">
        <f>COUNTIFS('Test Case Mapping'!$E$2:$E$600,A84,'Test Case Mapping'!$I$2:$I$600,"Pass")</f>
        <v/>
      </c>
      <c r="K84" s="8">
        <f>COUNTIFS('Test Case Mapping'!$E$2:$E$600,A84,'Test Case Mapping'!$I$2:$I$600,"Fail")</f>
        <v/>
      </c>
      <c r="L84" s="8">
        <f>COUNTIFS('Test Case Mapping'!$E$2:$E$600,A84,'Test Case Mapping'!$I$2:$I$600,"Skipped")</f>
        <v/>
      </c>
      <c r="M84" s="8">
        <f>COUNTIFS('Test Case Mapping'!$E$2:$E$600,A84,'Test Case Mapping'!$I$2:$I$600,"Not run")</f>
        <v/>
      </c>
      <c r="N84" s="8">
        <f>IF(H84=0,"Not covered",IF(I84=H84,"Automated",IF(I84=0,"Manual only","Partly manual")))</f>
        <v/>
      </c>
      <c r="O84" s="8">
        <f>IF(H84=0,"Not run",IF(K84&gt;0,IF(J84&gt;0,"Partly failing","Fail"),IF(J84&gt;0,"Pass",IF(M84&gt;0,"Not run","Skipped"))))</f>
        <v/>
      </c>
      <c r="P84" s="8" t="inlineStr">
        <is>
          <t>DEF-01, DEF-08</t>
        </is>
      </c>
    </row>
    <row r="85">
      <c r="A85" s="8" t="inlineStr">
        <is>
          <t>REQ-SC-03</t>
        </is>
      </c>
      <c r="B85" s="7" t="inlineStr">
        <is>
          <t>Business scenarios (workbook)</t>
        </is>
      </c>
      <c r="C85" s="7" t="inlineStr">
        <is>
          <t>Business scenarios (all pages)</t>
        </is>
      </c>
      <c r="D85" s="7" t="inlineStr">
        <is>
          <t>Report Module Navigation (scenarios from Reports_Analytics_Test_Scenarios.xlsx)</t>
        </is>
      </c>
      <c r="E85" s="8" t="inlineStr">
        <is>
          <t>Medium</t>
        </is>
      </c>
      <c r="F85" s="7" t="inlineStr">
        <is>
          <t>Scenarios workbook</t>
        </is>
      </c>
      <c r="G85" s="7" t="inlineStr">
        <is>
          <t>RA-019…RA-031</t>
        </is>
      </c>
      <c r="H85" s="8">
        <f>COUNTIF('Test Case Mapping'!$E$2:$E$600,A85)</f>
        <v/>
      </c>
      <c r="I85" s="8">
        <f>COUNTIFS('Test Case Mapping'!$E$2:$E$600,A85,'Test Case Mapping'!$G$2:$G$600,"Yes")</f>
        <v/>
      </c>
      <c r="J85" s="8">
        <f>COUNTIFS('Test Case Mapping'!$E$2:$E$600,A85,'Test Case Mapping'!$I$2:$I$600,"Pass")</f>
        <v/>
      </c>
      <c r="K85" s="8">
        <f>COUNTIFS('Test Case Mapping'!$E$2:$E$600,A85,'Test Case Mapping'!$I$2:$I$600,"Fail")</f>
        <v/>
      </c>
      <c r="L85" s="8">
        <f>COUNTIFS('Test Case Mapping'!$E$2:$E$600,A85,'Test Case Mapping'!$I$2:$I$600,"Skipped")</f>
        <v/>
      </c>
      <c r="M85" s="8">
        <f>COUNTIFS('Test Case Mapping'!$E$2:$E$600,A85,'Test Case Mapping'!$I$2:$I$600,"Not run")</f>
        <v/>
      </c>
      <c r="N85" s="8">
        <f>IF(H85=0,"Not covered",IF(I85=H85,"Automated",IF(I85=0,"Manual only","Partly manual")))</f>
        <v/>
      </c>
      <c r="O85" s="8">
        <f>IF(H85=0,"Not run",IF(K85&gt;0,IF(J85&gt;0,"Partly failing","Fail"),IF(J85&gt;0,"Pass",IF(M85&gt;0,"Not run","Skipped"))))</f>
        <v/>
      </c>
      <c r="P85" s="8" t="inlineStr">
        <is>
          <t>—</t>
        </is>
      </c>
    </row>
    <row r="86">
      <c r="A86" s="8" t="inlineStr">
        <is>
          <t>REQ-SC-04</t>
        </is>
      </c>
      <c r="B86" s="7" t="inlineStr">
        <is>
          <t>Business scenarios (workbook)</t>
        </is>
      </c>
      <c r="C86" s="7" t="inlineStr">
        <is>
          <t>Business scenarios (all pages)</t>
        </is>
      </c>
      <c r="D86" s="7" t="inlineStr">
        <is>
          <t>Lead Reports (scenarios from Reports_Analytics_Test_Scenarios.xlsx)</t>
        </is>
      </c>
      <c r="E86" s="8" t="inlineStr">
        <is>
          <t>Medium</t>
        </is>
      </c>
      <c r="F86" s="7" t="inlineStr">
        <is>
          <t>Scenarios workbook</t>
        </is>
      </c>
      <c r="G86" s="7" t="inlineStr">
        <is>
          <t>RA-032…RA-043</t>
        </is>
      </c>
      <c r="H86" s="8">
        <f>COUNTIF('Test Case Mapping'!$E$2:$E$600,A86)</f>
        <v/>
      </c>
      <c r="I86" s="8">
        <f>COUNTIFS('Test Case Mapping'!$E$2:$E$600,A86,'Test Case Mapping'!$G$2:$G$600,"Yes")</f>
        <v/>
      </c>
      <c r="J86" s="8">
        <f>COUNTIFS('Test Case Mapping'!$E$2:$E$600,A86,'Test Case Mapping'!$I$2:$I$600,"Pass")</f>
        <v/>
      </c>
      <c r="K86" s="8">
        <f>COUNTIFS('Test Case Mapping'!$E$2:$E$600,A86,'Test Case Mapping'!$I$2:$I$600,"Fail")</f>
        <v/>
      </c>
      <c r="L86" s="8">
        <f>COUNTIFS('Test Case Mapping'!$E$2:$E$600,A86,'Test Case Mapping'!$I$2:$I$600,"Skipped")</f>
        <v/>
      </c>
      <c r="M86" s="8">
        <f>COUNTIFS('Test Case Mapping'!$E$2:$E$600,A86,'Test Case Mapping'!$I$2:$I$600,"Not run")</f>
        <v/>
      </c>
      <c r="N86" s="8">
        <f>IF(H86=0,"Not covered",IF(I86=H86,"Automated",IF(I86=0,"Manual only","Partly manual")))</f>
        <v/>
      </c>
      <c r="O86" s="8">
        <f>IF(H86=0,"Not run",IF(K86&gt;0,IF(J86&gt;0,"Partly failing","Fail"),IF(J86&gt;0,"Pass",IF(M86&gt;0,"Not run","Skipped"))))</f>
        <v/>
      </c>
      <c r="P86" s="8" t="inlineStr">
        <is>
          <t>—</t>
        </is>
      </c>
    </row>
    <row r="87">
      <c r="A87" s="8" t="inlineStr">
        <is>
          <t>REQ-SC-05</t>
        </is>
      </c>
      <c r="B87" s="7" t="inlineStr">
        <is>
          <t>Business scenarios (workbook)</t>
        </is>
      </c>
      <c r="C87" s="7" t="inlineStr">
        <is>
          <t>Business scenarios (all pages)</t>
        </is>
      </c>
      <c r="D87" s="7" t="inlineStr">
        <is>
          <t>Report Filters and Views (scenarios from Reports_Analytics_Test_Scenarios.xlsx)</t>
        </is>
      </c>
      <c r="E87" s="8" t="inlineStr">
        <is>
          <t>Medium</t>
        </is>
      </c>
      <c r="F87" s="7" t="inlineStr">
        <is>
          <t>Scenarios workbook</t>
        </is>
      </c>
      <c r="G87" s="7" t="inlineStr">
        <is>
          <t>RA-044…RA-050</t>
        </is>
      </c>
      <c r="H87" s="8">
        <f>COUNTIF('Test Case Mapping'!$E$2:$E$600,A87)</f>
        <v/>
      </c>
      <c r="I87" s="8">
        <f>COUNTIFS('Test Case Mapping'!$E$2:$E$600,A87,'Test Case Mapping'!$G$2:$G$600,"Yes")</f>
        <v/>
      </c>
      <c r="J87" s="8">
        <f>COUNTIFS('Test Case Mapping'!$E$2:$E$600,A87,'Test Case Mapping'!$I$2:$I$600,"Pass")</f>
        <v/>
      </c>
      <c r="K87" s="8">
        <f>COUNTIFS('Test Case Mapping'!$E$2:$E$600,A87,'Test Case Mapping'!$I$2:$I$600,"Fail")</f>
        <v/>
      </c>
      <c r="L87" s="8">
        <f>COUNTIFS('Test Case Mapping'!$E$2:$E$600,A87,'Test Case Mapping'!$I$2:$I$600,"Skipped")</f>
        <v/>
      </c>
      <c r="M87" s="8">
        <f>COUNTIFS('Test Case Mapping'!$E$2:$E$600,A87,'Test Case Mapping'!$I$2:$I$600,"Not run")</f>
        <v/>
      </c>
      <c r="N87" s="8">
        <f>IF(H87=0,"Not covered",IF(I87=H87,"Automated",IF(I87=0,"Manual only","Partly manual")))</f>
        <v/>
      </c>
      <c r="O87" s="8">
        <f>IF(H87=0,"Not run",IF(K87&gt;0,IF(J87&gt;0,"Partly failing","Fail"),IF(J87&gt;0,"Pass",IF(M87&gt;0,"Not run","Skipped"))))</f>
        <v/>
      </c>
      <c r="P87" s="8" t="inlineStr">
        <is>
          <t>—</t>
        </is>
      </c>
    </row>
    <row r="88">
      <c r="A88" s="8" t="inlineStr">
        <is>
          <t>REQ-SC-06</t>
        </is>
      </c>
      <c r="B88" s="7" t="inlineStr">
        <is>
          <t>Business scenarios (workbook)</t>
        </is>
      </c>
      <c r="C88" s="7" t="inlineStr">
        <is>
          <t>Business scenarios (all pages)</t>
        </is>
      </c>
      <c r="D88" s="7" t="inlineStr">
        <is>
          <t>Report-Specific Data Validation (scenarios from Reports_Analytics_Test_Scenarios.xlsx)</t>
        </is>
      </c>
      <c r="E88" s="8" t="inlineStr">
        <is>
          <t>Medium</t>
        </is>
      </c>
      <c r="F88" s="7" t="inlineStr">
        <is>
          <t>Scenarios workbook</t>
        </is>
      </c>
      <c r="G88" s="7" t="inlineStr">
        <is>
          <t>RA-051…RA-060</t>
        </is>
      </c>
      <c r="H88" s="8">
        <f>COUNTIF('Test Case Mapping'!$E$2:$E$600,A88)</f>
        <v/>
      </c>
      <c r="I88" s="8">
        <f>COUNTIFS('Test Case Mapping'!$E$2:$E$600,A88,'Test Case Mapping'!$G$2:$G$600,"Yes")</f>
        <v/>
      </c>
      <c r="J88" s="8">
        <f>COUNTIFS('Test Case Mapping'!$E$2:$E$600,A88,'Test Case Mapping'!$I$2:$I$600,"Pass")</f>
        <v/>
      </c>
      <c r="K88" s="8">
        <f>COUNTIFS('Test Case Mapping'!$E$2:$E$600,A88,'Test Case Mapping'!$I$2:$I$600,"Fail")</f>
        <v/>
      </c>
      <c r="L88" s="8">
        <f>COUNTIFS('Test Case Mapping'!$E$2:$E$600,A88,'Test Case Mapping'!$I$2:$I$600,"Skipped")</f>
        <v/>
      </c>
      <c r="M88" s="8">
        <f>COUNTIFS('Test Case Mapping'!$E$2:$E$600,A88,'Test Case Mapping'!$I$2:$I$600,"Not run")</f>
        <v/>
      </c>
      <c r="N88" s="8">
        <f>IF(H88=0,"Not covered",IF(I88=H88,"Automated",IF(I88=0,"Manual only","Partly manual")))</f>
        <v/>
      </c>
      <c r="O88" s="8">
        <f>IF(H88=0,"Not run",IF(K88&gt;0,IF(J88&gt;0,"Partly failing","Fail"),IF(J88&gt;0,"Pass",IF(M88&gt;0,"Not run","Skipped"))))</f>
        <v/>
      </c>
      <c r="P88" s="8" t="inlineStr">
        <is>
          <t>DEF-02, DEF-07</t>
        </is>
      </c>
    </row>
    <row r="89">
      <c r="A89" s="8" t="inlineStr">
        <is>
          <t>REQ-SC-07</t>
        </is>
      </c>
      <c r="B89" s="7" t="inlineStr">
        <is>
          <t>Business scenarios (workbook)</t>
        </is>
      </c>
      <c r="C89" s="7" t="inlineStr">
        <is>
          <t>Business scenarios (all pages)</t>
        </is>
      </c>
      <c r="D89" s="7" t="inlineStr">
        <is>
          <t>Record-Level Validation (scenarios from Reports_Analytics_Test_Scenarios.xlsx)</t>
        </is>
      </c>
      <c r="E89" s="8" t="inlineStr">
        <is>
          <t>Medium</t>
        </is>
      </c>
      <c r="F89" s="7" t="inlineStr">
        <is>
          <t>Scenarios workbook</t>
        </is>
      </c>
      <c r="G89" s="7" t="inlineStr">
        <is>
          <t>RA-061…RA-065</t>
        </is>
      </c>
      <c r="H89" s="8">
        <f>COUNTIF('Test Case Mapping'!$E$2:$E$600,A89)</f>
        <v/>
      </c>
      <c r="I89" s="8">
        <f>COUNTIFS('Test Case Mapping'!$E$2:$E$600,A89,'Test Case Mapping'!$G$2:$G$600,"Yes")</f>
        <v/>
      </c>
      <c r="J89" s="8">
        <f>COUNTIFS('Test Case Mapping'!$E$2:$E$600,A89,'Test Case Mapping'!$I$2:$I$600,"Pass")</f>
        <v/>
      </c>
      <c r="K89" s="8">
        <f>COUNTIFS('Test Case Mapping'!$E$2:$E$600,A89,'Test Case Mapping'!$I$2:$I$600,"Fail")</f>
        <v/>
      </c>
      <c r="L89" s="8">
        <f>COUNTIFS('Test Case Mapping'!$E$2:$E$600,A89,'Test Case Mapping'!$I$2:$I$600,"Skipped")</f>
        <v/>
      </c>
      <c r="M89" s="8">
        <f>COUNTIFS('Test Case Mapping'!$E$2:$E$600,A89,'Test Case Mapping'!$I$2:$I$600,"Not run")</f>
        <v/>
      </c>
      <c r="N89" s="8">
        <f>IF(H89=0,"Not covered",IF(I89=H89,"Automated",IF(I89=0,"Manual only","Partly manual")))</f>
        <v/>
      </c>
      <c r="O89" s="8">
        <f>IF(H89=0,"Not run",IF(K89&gt;0,IF(J89&gt;0,"Partly failing","Fail"),IF(J89&gt;0,"Pass",IF(M89&gt;0,"Not run","Skipped"))))</f>
        <v/>
      </c>
      <c r="P89" s="8" t="inlineStr">
        <is>
          <t>DEF-06</t>
        </is>
      </c>
    </row>
    <row r="90">
      <c r="A90" s="8" t="inlineStr">
        <is>
          <t>REQ-SC-08</t>
        </is>
      </c>
      <c r="B90" s="7" t="inlineStr">
        <is>
          <t>Business scenarios (workbook)</t>
        </is>
      </c>
      <c r="C90" s="7" t="inlineStr">
        <is>
          <t>Business scenarios (all pages)</t>
        </is>
      </c>
      <c r="D90" s="7" t="inlineStr">
        <is>
          <t>Create / Edit / Delete Scenarios (scenarios from Reports_Analytics_Test_Scenarios.xlsx)</t>
        </is>
      </c>
      <c r="E90" s="8" t="inlineStr">
        <is>
          <t>Medium</t>
        </is>
      </c>
      <c r="F90" s="7" t="inlineStr">
        <is>
          <t>Scenarios workbook</t>
        </is>
      </c>
      <c r="G90" s="7" t="inlineStr">
        <is>
          <t>RA-066…RA-070</t>
        </is>
      </c>
      <c r="H90" s="8">
        <f>COUNTIF('Test Case Mapping'!$E$2:$E$600,A90)</f>
        <v/>
      </c>
      <c r="I90" s="8">
        <f>COUNTIFS('Test Case Mapping'!$E$2:$E$600,A90,'Test Case Mapping'!$G$2:$G$600,"Yes")</f>
        <v/>
      </c>
      <c r="J90" s="8">
        <f>COUNTIFS('Test Case Mapping'!$E$2:$E$600,A90,'Test Case Mapping'!$I$2:$I$600,"Pass")</f>
        <v/>
      </c>
      <c r="K90" s="8">
        <f>COUNTIFS('Test Case Mapping'!$E$2:$E$600,A90,'Test Case Mapping'!$I$2:$I$600,"Fail")</f>
        <v/>
      </c>
      <c r="L90" s="8">
        <f>COUNTIFS('Test Case Mapping'!$E$2:$E$600,A90,'Test Case Mapping'!$I$2:$I$600,"Skipped")</f>
        <v/>
      </c>
      <c r="M90" s="8">
        <f>COUNTIFS('Test Case Mapping'!$E$2:$E$600,A90,'Test Case Mapping'!$I$2:$I$600,"Not run")</f>
        <v/>
      </c>
      <c r="N90" s="8">
        <f>IF(H90=0,"Not covered",IF(I90=H90,"Automated",IF(I90=0,"Manual only","Partly manual")))</f>
        <v/>
      </c>
      <c r="O90" s="8">
        <f>IF(H90=0,"Not run",IF(K90&gt;0,IF(J90&gt;0,"Partly failing","Fail"),IF(J90&gt;0,"Pass",IF(M90&gt;0,"Not run","Skipped"))))</f>
        <v/>
      </c>
      <c r="P90" s="8" t="inlineStr">
        <is>
          <t>—</t>
        </is>
      </c>
    </row>
    <row r="91">
      <c r="A91" s="8" t="inlineStr">
        <is>
          <t>REQ-SC-09</t>
        </is>
      </c>
      <c r="B91" s="7" t="inlineStr">
        <is>
          <t>Business scenarios (workbook)</t>
        </is>
      </c>
      <c r="C91" s="7" t="inlineStr">
        <is>
          <t>Business scenarios (all pages)</t>
        </is>
      </c>
      <c r="D91" s="7" t="inlineStr">
        <is>
          <t>Charts and Graphs (scenarios from Reports_Analytics_Test_Scenarios.xlsx)</t>
        </is>
      </c>
      <c r="E91" s="8" t="inlineStr">
        <is>
          <t>Medium</t>
        </is>
      </c>
      <c r="F91" s="7" t="inlineStr">
        <is>
          <t>Scenarios workbook</t>
        </is>
      </c>
      <c r="G91" s="7" t="inlineStr">
        <is>
          <t>RA-071…RA-076</t>
        </is>
      </c>
      <c r="H91" s="8">
        <f>COUNTIF('Test Case Mapping'!$E$2:$E$600,A91)</f>
        <v/>
      </c>
      <c r="I91" s="8">
        <f>COUNTIFS('Test Case Mapping'!$E$2:$E$600,A91,'Test Case Mapping'!$G$2:$G$600,"Yes")</f>
        <v/>
      </c>
      <c r="J91" s="8">
        <f>COUNTIFS('Test Case Mapping'!$E$2:$E$600,A91,'Test Case Mapping'!$I$2:$I$600,"Pass")</f>
        <v/>
      </c>
      <c r="K91" s="8">
        <f>COUNTIFS('Test Case Mapping'!$E$2:$E$600,A91,'Test Case Mapping'!$I$2:$I$600,"Fail")</f>
        <v/>
      </c>
      <c r="L91" s="8">
        <f>COUNTIFS('Test Case Mapping'!$E$2:$E$600,A91,'Test Case Mapping'!$I$2:$I$600,"Skipped")</f>
        <v/>
      </c>
      <c r="M91" s="8">
        <f>COUNTIFS('Test Case Mapping'!$E$2:$E$600,A91,'Test Case Mapping'!$I$2:$I$600,"Not run")</f>
        <v/>
      </c>
      <c r="N91" s="8">
        <f>IF(H91=0,"Not covered",IF(I91=H91,"Automated",IF(I91=0,"Manual only","Partly manual")))</f>
        <v/>
      </c>
      <c r="O91" s="8">
        <f>IF(H91=0,"Not run",IF(K91&gt;0,IF(J91&gt;0,"Partly failing","Fail"),IF(J91&gt;0,"Pass",IF(M91&gt;0,"Not run","Skipped"))))</f>
        <v/>
      </c>
      <c r="P91" s="8" t="inlineStr">
        <is>
          <t>—</t>
        </is>
      </c>
    </row>
    <row r="92">
      <c r="A92" s="8" t="inlineStr">
        <is>
          <t>REQ-SC-10</t>
        </is>
      </c>
      <c r="B92" s="7" t="inlineStr">
        <is>
          <t>Business scenarios (workbook)</t>
        </is>
      </c>
      <c r="C92" s="7" t="inlineStr">
        <is>
          <t>Business scenarios (all pages)</t>
        </is>
      </c>
      <c r="D92" s="7" t="inlineStr">
        <is>
          <t>Export Scenarios (scenarios from Reports_Analytics_Test_Scenarios.xlsx)</t>
        </is>
      </c>
      <c r="E92" s="8" t="inlineStr">
        <is>
          <t>Medium</t>
        </is>
      </c>
      <c r="F92" s="7" t="inlineStr">
        <is>
          <t>Scenarios workbook</t>
        </is>
      </c>
      <c r="G92" s="7" t="inlineStr">
        <is>
          <t>RA-077…RA-083</t>
        </is>
      </c>
      <c r="H92" s="8">
        <f>COUNTIF('Test Case Mapping'!$E$2:$E$600,A92)</f>
        <v/>
      </c>
      <c r="I92" s="8">
        <f>COUNTIFS('Test Case Mapping'!$E$2:$E$600,A92,'Test Case Mapping'!$G$2:$G$600,"Yes")</f>
        <v/>
      </c>
      <c r="J92" s="8">
        <f>COUNTIFS('Test Case Mapping'!$E$2:$E$600,A92,'Test Case Mapping'!$I$2:$I$600,"Pass")</f>
        <v/>
      </c>
      <c r="K92" s="8">
        <f>COUNTIFS('Test Case Mapping'!$E$2:$E$600,A92,'Test Case Mapping'!$I$2:$I$600,"Fail")</f>
        <v/>
      </c>
      <c r="L92" s="8">
        <f>COUNTIFS('Test Case Mapping'!$E$2:$E$600,A92,'Test Case Mapping'!$I$2:$I$600,"Skipped")</f>
        <v/>
      </c>
      <c r="M92" s="8">
        <f>COUNTIFS('Test Case Mapping'!$E$2:$E$600,A92,'Test Case Mapping'!$I$2:$I$600,"Not run")</f>
        <v/>
      </c>
      <c r="N92" s="8">
        <f>IF(H92=0,"Not covered",IF(I92=H92,"Automated",IF(I92=0,"Manual only","Partly manual")))</f>
        <v/>
      </c>
      <c r="O92" s="8">
        <f>IF(H92=0,"Not run",IF(K92&gt;0,IF(J92&gt;0,"Partly failing","Fail"),IF(J92&gt;0,"Pass",IF(M92&gt;0,"Not run","Skipped"))))</f>
        <v/>
      </c>
      <c r="P92" s="8" t="inlineStr">
        <is>
          <t>—</t>
        </is>
      </c>
    </row>
    <row r="93">
      <c r="A93" s="8" t="inlineStr">
        <is>
          <t>REQ-SC-11</t>
        </is>
      </c>
      <c r="B93" s="7" t="inlineStr">
        <is>
          <t>Business scenarios (workbook)</t>
        </is>
      </c>
      <c r="C93" s="7" t="inlineStr">
        <is>
          <t>Business scenarios (all pages)</t>
        </is>
      </c>
      <c r="D93" s="7" t="inlineStr">
        <is>
          <t>Login, Permission and Security (scenarios from Reports_Analytics_Test_Scenarios.xlsx)</t>
        </is>
      </c>
      <c r="E93" s="8" t="inlineStr">
        <is>
          <t>Medium</t>
        </is>
      </c>
      <c r="F93" s="7" t="inlineStr">
        <is>
          <t>Scenarios workbook</t>
        </is>
      </c>
      <c r="G93" s="7" t="inlineStr">
        <is>
          <t>RA-084…RA-091</t>
        </is>
      </c>
      <c r="H93" s="8">
        <f>COUNTIF('Test Case Mapping'!$E$2:$E$600,A93)</f>
        <v/>
      </c>
      <c r="I93" s="8">
        <f>COUNTIFS('Test Case Mapping'!$E$2:$E$600,A93,'Test Case Mapping'!$G$2:$G$600,"Yes")</f>
        <v/>
      </c>
      <c r="J93" s="8">
        <f>COUNTIFS('Test Case Mapping'!$E$2:$E$600,A93,'Test Case Mapping'!$I$2:$I$600,"Pass")</f>
        <v/>
      </c>
      <c r="K93" s="8">
        <f>COUNTIFS('Test Case Mapping'!$E$2:$E$600,A93,'Test Case Mapping'!$I$2:$I$600,"Fail")</f>
        <v/>
      </c>
      <c r="L93" s="8">
        <f>COUNTIFS('Test Case Mapping'!$E$2:$E$600,A93,'Test Case Mapping'!$I$2:$I$600,"Skipped")</f>
        <v/>
      </c>
      <c r="M93" s="8">
        <f>COUNTIFS('Test Case Mapping'!$E$2:$E$600,A93,'Test Case Mapping'!$I$2:$I$600,"Not run")</f>
        <v/>
      </c>
      <c r="N93" s="8">
        <f>IF(H93=0,"Not covered",IF(I93=H93,"Automated",IF(I93=0,"Manual only","Partly manual")))</f>
        <v/>
      </c>
      <c r="O93" s="8">
        <f>IF(H93=0,"Not run",IF(K93&gt;0,IF(J93&gt;0,"Partly failing","Fail"),IF(J93&gt;0,"Pass",IF(M93&gt;0,"Not run","Skipped"))))</f>
        <v/>
      </c>
      <c r="P93" s="8" t="inlineStr">
        <is>
          <t>—</t>
        </is>
      </c>
    </row>
    <row r="94">
      <c r="A94" s="8" t="inlineStr">
        <is>
          <t>REQ-SC-12</t>
        </is>
      </c>
      <c r="B94" s="7" t="inlineStr">
        <is>
          <t>Business scenarios (workbook)</t>
        </is>
      </c>
      <c r="C94" s="7" t="inlineStr">
        <is>
          <t>Business scenarios (all pages)</t>
        </is>
      </c>
      <c r="D94" s="7" t="inlineStr">
        <is>
          <t>API and Error Handling (scenarios from Reports_Analytics_Test_Scenarios.xlsx)</t>
        </is>
      </c>
      <c r="E94" s="8" t="inlineStr">
        <is>
          <t>Medium</t>
        </is>
      </c>
      <c r="F94" s="7" t="inlineStr">
        <is>
          <t>Scenarios workbook</t>
        </is>
      </c>
      <c r="G94" s="7" t="inlineStr">
        <is>
          <t>RA-092…RA-098</t>
        </is>
      </c>
      <c r="H94" s="8">
        <f>COUNTIF('Test Case Mapping'!$E$2:$E$600,A94)</f>
        <v/>
      </c>
      <c r="I94" s="8">
        <f>COUNTIFS('Test Case Mapping'!$E$2:$E$600,A94,'Test Case Mapping'!$G$2:$G$600,"Yes")</f>
        <v/>
      </c>
      <c r="J94" s="8">
        <f>COUNTIFS('Test Case Mapping'!$E$2:$E$600,A94,'Test Case Mapping'!$I$2:$I$600,"Pass")</f>
        <v/>
      </c>
      <c r="K94" s="8">
        <f>COUNTIFS('Test Case Mapping'!$E$2:$E$600,A94,'Test Case Mapping'!$I$2:$I$600,"Fail")</f>
        <v/>
      </c>
      <c r="L94" s="8">
        <f>COUNTIFS('Test Case Mapping'!$E$2:$E$600,A94,'Test Case Mapping'!$I$2:$I$600,"Skipped")</f>
        <v/>
      </c>
      <c r="M94" s="8">
        <f>COUNTIFS('Test Case Mapping'!$E$2:$E$600,A94,'Test Case Mapping'!$I$2:$I$600,"Not run")</f>
        <v/>
      </c>
      <c r="N94" s="8">
        <f>IF(H94=0,"Not covered",IF(I94=H94,"Automated",IF(I94=0,"Manual only","Partly manual")))</f>
        <v/>
      </c>
      <c r="O94" s="8">
        <f>IF(H94=0,"Not run",IF(K94&gt;0,IF(J94&gt;0,"Partly failing","Fail"),IF(J94&gt;0,"Pass",IF(M94&gt;0,"Not run","Skipped"))))</f>
        <v/>
      </c>
      <c r="P94" s="8" t="inlineStr">
        <is>
          <t>DEF-10</t>
        </is>
      </c>
    </row>
    <row r="95">
      <c r="A95" s="8" t="inlineStr">
        <is>
          <t>REQ-SC-13</t>
        </is>
      </c>
      <c r="B95" s="7" t="inlineStr">
        <is>
          <t>Business scenarios (workbook)</t>
        </is>
      </c>
      <c r="C95" s="7" t="inlineStr">
        <is>
          <t>Business scenarios (all pages)</t>
        </is>
      </c>
      <c r="D95" s="7" t="inlineStr">
        <is>
          <t>Empty and Boundary Conditions (scenarios from Reports_Analytics_Test_Scenarios.xlsx)</t>
        </is>
      </c>
      <c r="E95" s="8" t="inlineStr">
        <is>
          <t>Medium</t>
        </is>
      </c>
      <c r="F95" s="7" t="inlineStr">
        <is>
          <t>Scenarios workbook</t>
        </is>
      </c>
      <c r="G95" s="7" t="inlineStr">
        <is>
          <t>RA-099…RA-105</t>
        </is>
      </c>
      <c r="H95" s="8">
        <f>COUNTIF('Test Case Mapping'!$E$2:$E$600,A95)</f>
        <v/>
      </c>
      <c r="I95" s="8">
        <f>COUNTIFS('Test Case Mapping'!$E$2:$E$600,A95,'Test Case Mapping'!$G$2:$G$600,"Yes")</f>
        <v/>
      </c>
      <c r="J95" s="8">
        <f>COUNTIFS('Test Case Mapping'!$E$2:$E$600,A95,'Test Case Mapping'!$I$2:$I$600,"Pass")</f>
        <v/>
      </c>
      <c r="K95" s="8">
        <f>COUNTIFS('Test Case Mapping'!$E$2:$E$600,A95,'Test Case Mapping'!$I$2:$I$600,"Fail")</f>
        <v/>
      </c>
      <c r="L95" s="8">
        <f>COUNTIFS('Test Case Mapping'!$E$2:$E$600,A95,'Test Case Mapping'!$I$2:$I$600,"Skipped")</f>
        <v/>
      </c>
      <c r="M95" s="8">
        <f>COUNTIFS('Test Case Mapping'!$E$2:$E$600,A95,'Test Case Mapping'!$I$2:$I$600,"Not run")</f>
        <v/>
      </c>
      <c r="N95" s="8">
        <f>IF(H95=0,"Not covered",IF(I95=H95,"Automated",IF(I95=0,"Manual only","Partly manual")))</f>
        <v/>
      </c>
      <c r="O95" s="8">
        <f>IF(H95=0,"Not run",IF(K95&gt;0,IF(J95&gt;0,"Partly failing","Fail"),IF(J95&gt;0,"Pass",IF(M95&gt;0,"Not run","Skipped"))))</f>
        <v/>
      </c>
      <c r="P95" s="8" t="inlineStr">
        <is>
          <t>—</t>
        </is>
      </c>
    </row>
    <row r="96">
      <c r="A96" s="8" t="inlineStr">
        <is>
          <t>REQ-SC-14</t>
        </is>
      </c>
      <c r="B96" s="7" t="inlineStr">
        <is>
          <t>Business scenarios (workbook)</t>
        </is>
      </c>
      <c r="C96" s="7" t="inlineStr">
        <is>
          <t>Business scenarios (all pages)</t>
        </is>
      </c>
      <c r="D96" s="7" t="inlineStr">
        <is>
          <t>Performance and Load (scenarios from Reports_Analytics_Test_Scenarios.xlsx)</t>
        </is>
      </c>
      <c r="E96" s="8" t="inlineStr">
        <is>
          <t>Medium</t>
        </is>
      </c>
      <c r="F96" s="7" t="inlineStr">
        <is>
          <t>Scenarios workbook</t>
        </is>
      </c>
      <c r="G96" s="7" t="inlineStr">
        <is>
          <t>RA-106…RA-111</t>
        </is>
      </c>
      <c r="H96" s="8">
        <f>COUNTIF('Test Case Mapping'!$E$2:$E$600,A96)</f>
        <v/>
      </c>
      <c r="I96" s="8">
        <f>COUNTIFS('Test Case Mapping'!$E$2:$E$600,A96,'Test Case Mapping'!$G$2:$G$600,"Yes")</f>
        <v/>
      </c>
      <c r="J96" s="8">
        <f>COUNTIFS('Test Case Mapping'!$E$2:$E$600,A96,'Test Case Mapping'!$I$2:$I$600,"Pass")</f>
        <v/>
      </c>
      <c r="K96" s="8">
        <f>COUNTIFS('Test Case Mapping'!$E$2:$E$600,A96,'Test Case Mapping'!$I$2:$I$600,"Fail")</f>
        <v/>
      </c>
      <c r="L96" s="8">
        <f>COUNTIFS('Test Case Mapping'!$E$2:$E$600,A96,'Test Case Mapping'!$I$2:$I$600,"Skipped")</f>
        <v/>
      </c>
      <c r="M96" s="8">
        <f>COUNTIFS('Test Case Mapping'!$E$2:$E$600,A96,'Test Case Mapping'!$I$2:$I$600,"Not run")</f>
        <v/>
      </c>
      <c r="N96" s="8">
        <f>IF(H96=0,"Not covered",IF(I96=H96,"Automated",IF(I96=0,"Manual only","Partly manual")))</f>
        <v/>
      </c>
      <c r="O96" s="8">
        <f>IF(H96=0,"Not run",IF(K96&gt;0,IF(J96&gt;0,"Partly failing","Fail"),IF(J96&gt;0,"Pass",IF(M96&gt;0,"Not run","Skipped"))))</f>
        <v/>
      </c>
      <c r="P96" s="8" t="inlineStr">
        <is>
          <t>—</t>
        </is>
      </c>
    </row>
    <row r="97">
      <c r="A97" s="8" t="inlineStr">
        <is>
          <t>REQ-SC-15</t>
        </is>
      </c>
      <c r="B97" s="7" t="inlineStr">
        <is>
          <t>Business scenarios (workbook)</t>
        </is>
      </c>
      <c r="C97" s="7" t="inlineStr">
        <is>
          <t>Business scenarios (all pages)</t>
        </is>
      </c>
      <c r="D97" s="7" t="inlineStr">
        <is>
          <t>Browser and Responsive Testing (scenarios from Reports_Analytics_Test_Scenarios.xlsx)</t>
        </is>
      </c>
      <c r="E97" s="8" t="inlineStr">
        <is>
          <t>Medium</t>
        </is>
      </c>
      <c r="F97" s="7" t="inlineStr">
        <is>
          <t>Scenarios workbook</t>
        </is>
      </c>
      <c r="G97" s="7" t="inlineStr">
        <is>
          <t>RA-112…RA-118</t>
        </is>
      </c>
      <c r="H97" s="8">
        <f>COUNTIF('Test Case Mapping'!$E$2:$E$600,A97)</f>
        <v/>
      </c>
      <c r="I97" s="8">
        <f>COUNTIFS('Test Case Mapping'!$E$2:$E$600,A97,'Test Case Mapping'!$G$2:$G$600,"Yes")</f>
        <v/>
      </c>
      <c r="J97" s="8">
        <f>COUNTIFS('Test Case Mapping'!$E$2:$E$600,A97,'Test Case Mapping'!$I$2:$I$600,"Pass")</f>
        <v/>
      </c>
      <c r="K97" s="8">
        <f>COUNTIFS('Test Case Mapping'!$E$2:$E$600,A97,'Test Case Mapping'!$I$2:$I$600,"Fail")</f>
        <v/>
      </c>
      <c r="L97" s="8">
        <f>COUNTIFS('Test Case Mapping'!$E$2:$E$600,A97,'Test Case Mapping'!$I$2:$I$600,"Skipped")</f>
        <v/>
      </c>
      <c r="M97" s="8">
        <f>COUNTIFS('Test Case Mapping'!$E$2:$E$600,A97,'Test Case Mapping'!$I$2:$I$600,"Not run")</f>
        <v/>
      </c>
      <c r="N97" s="8">
        <f>IF(H97=0,"Not covered",IF(I97=H97,"Automated",IF(I97=0,"Manual only","Partly manual")))</f>
        <v/>
      </c>
      <c r="O97" s="8">
        <f>IF(H97=0,"Not run",IF(K97&gt;0,IF(J97&gt;0,"Partly failing","Fail"),IF(J97&gt;0,"Pass",IF(M97&gt;0,"Not run","Skipped"))))</f>
        <v/>
      </c>
      <c r="P97" s="8" t="inlineStr">
        <is>
          <t>—</t>
        </is>
      </c>
    </row>
    <row r="98">
      <c r="A98" s="8" t="inlineStr">
        <is>
          <t>REQ-SC-16</t>
        </is>
      </c>
      <c r="B98" s="7" t="inlineStr">
        <is>
          <t>Business scenarios (workbook)</t>
        </is>
      </c>
      <c r="C98" s="7" t="inlineStr">
        <is>
          <t>Business scenarios (all pages)</t>
        </is>
      </c>
      <c r="D98" s="7" t="inlineStr">
        <is>
          <t>Accessibility and UI Validation (scenarios from Reports_Analytics_Test_Scenarios.xlsx)</t>
        </is>
      </c>
      <c r="E98" s="8" t="inlineStr">
        <is>
          <t>Medium</t>
        </is>
      </c>
      <c r="F98" s="7" t="inlineStr">
        <is>
          <t>Scenarios workbook</t>
        </is>
      </c>
      <c r="G98" s="7" t="inlineStr">
        <is>
          <t>RA-119…RA-126</t>
        </is>
      </c>
      <c r="H98" s="8">
        <f>COUNTIF('Test Case Mapping'!$E$2:$E$600,A98)</f>
        <v/>
      </c>
      <c r="I98" s="8">
        <f>COUNTIFS('Test Case Mapping'!$E$2:$E$600,A98,'Test Case Mapping'!$G$2:$G$600,"Yes")</f>
        <v/>
      </c>
      <c r="J98" s="8">
        <f>COUNTIFS('Test Case Mapping'!$E$2:$E$600,A98,'Test Case Mapping'!$I$2:$I$600,"Pass")</f>
        <v/>
      </c>
      <c r="K98" s="8">
        <f>COUNTIFS('Test Case Mapping'!$E$2:$E$600,A98,'Test Case Mapping'!$I$2:$I$600,"Fail")</f>
        <v/>
      </c>
      <c r="L98" s="8">
        <f>COUNTIFS('Test Case Mapping'!$E$2:$E$600,A98,'Test Case Mapping'!$I$2:$I$600,"Skipped")</f>
        <v/>
      </c>
      <c r="M98" s="8">
        <f>COUNTIFS('Test Case Mapping'!$E$2:$E$600,A98,'Test Case Mapping'!$I$2:$I$600,"Not run")</f>
        <v/>
      </c>
      <c r="N98" s="8">
        <f>IF(H98=0,"Not covered",IF(I98=H98,"Automated",IF(I98=0,"Manual only","Partly manual")))</f>
        <v/>
      </c>
      <c r="O98" s="8">
        <f>IF(H98=0,"Not run",IF(K98&gt;0,IF(J98&gt;0,"Partly failing","Fail"),IF(J98&gt;0,"Pass",IF(M98&gt;0,"Not run","Skipped"))))</f>
        <v/>
      </c>
      <c r="P98" s="8" t="inlineStr">
        <is>
          <t>DEF-11</t>
        </is>
      </c>
    </row>
    <row r="99">
      <c r="A99" s="8" t="inlineStr">
        <is>
          <t>REQ-SC-17</t>
        </is>
      </c>
      <c r="B99" s="7" t="inlineStr">
        <is>
          <t>Business scenarios (workbook)</t>
        </is>
      </c>
      <c r="C99" s="7" t="inlineStr">
        <is>
          <t>Business scenarios (all pages)</t>
        </is>
      </c>
      <c r="D99" s="7" t="inlineStr">
        <is>
          <t>End-to-End Scenarios (scenarios from Reports_Analytics_Test_Scenarios.xlsx)</t>
        </is>
      </c>
      <c r="E99" s="8" t="inlineStr">
        <is>
          <t>Medium</t>
        </is>
      </c>
      <c r="F99" s="7" t="inlineStr">
        <is>
          <t>Scenarios workbook</t>
        </is>
      </c>
      <c r="G99" s="7" t="inlineStr">
        <is>
          <t>RA-127…RA-133</t>
        </is>
      </c>
      <c r="H99" s="8">
        <f>COUNTIF('Test Case Mapping'!$E$2:$E$600,A99)</f>
        <v/>
      </c>
      <c r="I99" s="8">
        <f>COUNTIFS('Test Case Mapping'!$E$2:$E$600,A99,'Test Case Mapping'!$G$2:$G$600,"Yes")</f>
        <v/>
      </c>
      <c r="J99" s="8">
        <f>COUNTIFS('Test Case Mapping'!$E$2:$E$600,A99,'Test Case Mapping'!$I$2:$I$600,"Pass")</f>
        <v/>
      </c>
      <c r="K99" s="8">
        <f>COUNTIFS('Test Case Mapping'!$E$2:$E$600,A99,'Test Case Mapping'!$I$2:$I$600,"Fail")</f>
        <v/>
      </c>
      <c r="L99" s="8">
        <f>COUNTIFS('Test Case Mapping'!$E$2:$E$600,A99,'Test Case Mapping'!$I$2:$I$600,"Skipped")</f>
        <v/>
      </c>
      <c r="M99" s="8">
        <f>COUNTIFS('Test Case Mapping'!$E$2:$E$600,A99,'Test Case Mapping'!$I$2:$I$600,"Not run")</f>
        <v/>
      </c>
      <c r="N99" s="8">
        <f>IF(H99=0,"Not covered",IF(I99=H99,"Automated",IF(I99=0,"Manual only","Partly manual")))</f>
        <v/>
      </c>
      <c r="O99" s="8">
        <f>IF(H99=0,"Not run",IF(K99&gt;0,IF(J99&gt;0,"Partly failing","Fail"),IF(J99&gt;0,"Pass",IF(M99&gt;0,"Not run","Skipped"))))</f>
        <v/>
      </c>
      <c r="P99" s="8" t="inlineStr">
        <is>
          <t>—</t>
        </is>
      </c>
    </row>
  </sheetData>
  <autoFilter ref="A1:P99"/>
  <conditionalFormatting sqref="O2:O99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"Skipped"</formula>
    </cfRule>
    <cfRule type="cellIs" priority="4" operator="equal" dxfId="2">
      <formula>"Not run"</formula>
    </cfRule>
    <cfRule type="cellIs" priority="5" operator="equal" dxfId="0">
      <formula>"Partly failing"</formula>
    </cfRule>
  </conditionalFormatting>
  <conditionalFormatting sqref="N2:N99">
    <cfRule type="cellIs" priority="6" operator="equal" dxfId="1">
      <formula>"Automated"</formula>
    </cfRule>
    <cfRule type="cellIs" priority="7" operator="equal" dxfId="3">
      <formula>"Partly manual"</formula>
    </cfRule>
    <cfRule type="cellIs" priority="8" operator="equal" dxfId="2">
      <formula>"Manual only"</formula>
    </cfRule>
    <cfRule type="cellIs" priority="9" operator="equal" dxfId="0">
      <formula>"Not covered"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26" customWidth="1" min="3" max="3"/>
    <col width="24" customWidth="1" min="4" max="4"/>
    <col width="14" customWidth="1" min="5" max="5"/>
    <col width="10" customWidth="1" min="6" max="6"/>
    <col width="16" customWidth="1" min="7" max="7"/>
    <col width="40" customWidth="1" min="8" max="8"/>
    <col width="12" customWidth="1" min="9" max="9"/>
    <col width="12" customWidth="1" min="10" max="10"/>
    <col width="60" customWidth="1" min="11" max="11"/>
  </cols>
  <sheetData>
    <row r="1">
      <c r="A1" s="6" t="inlineStr">
        <is>
          <t>Test Case ID</t>
        </is>
      </c>
      <c r="B1" s="6" t="inlineStr">
        <is>
          <t>Test Case</t>
        </is>
      </c>
      <c r="C1" s="6" t="inlineStr">
        <is>
          <t>Source</t>
        </is>
      </c>
      <c r="D1" s="6" t="inlineStr">
        <is>
          <t>Page / Module</t>
        </is>
      </c>
      <c r="E1" s="6" t="inlineStr">
        <is>
          <t>Requirement ID</t>
        </is>
      </c>
      <c r="F1" s="6" t="inlineStr">
        <is>
          <t>Priority</t>
        </is>
      </c>
      <c r="G1" s="6" t="inlineStr">
        <is>
          <t>Automated</t>
        </is>
      </c>
      <c r="H1" s="6" t="inlineStr">
        <is>
          <t>Spec file</t>
        </is>
      </c>
      <c r="I1" s="6" t="inlineStr">
        <is>
          <t>Latest Result</t>
        </is>
      </c>
      <c r="J1" s="6" t="inlineStr">
        <is>
          <t>Defect ID</t>
        </is>
      </c>
      <c r="K1" s="6" t="inlineStr">
        <is>
          <t>Failure / skip detail</t>
        </is>
      </c>
    </row>
    <row r="2">
      <c r="A2" s="7" t="inlineStr">
        <is>
          <t>X-01</t>
        </is>
      </c>
      <c r="B2" s="7" t="inlineStr">
        <is>
          <t>Active leads is the same on every page</t>
        </is>
      </c>
      <c r="C2" s="7" t="inlineStr">
        <is>
          <t>Core suite</t>
        </is>
      </c>
      <c r="D2" s="7" t="inlineStr">
        <is>
          <t>Hub, dashboard and report modules</t>
        </is>
      </c>
      <c r="E2" s="8" t="inlineStr">
        <is>
          <t>REQ-X-01</t>
        </is>
      </c>
      <c r="F2" s="8" t="n"/>
      <c r="G2" s="7" t="inlineStr">
        <is>
          <t>Yes</t>
        </is>
      </c>
      <c r="H2" s="7" t="inlineStr">
        <is>
          <t>tests/consistency.spec.ts</t>
        </is>
      </c>
      <c r="I2" s="8" t="inlineStr">
        <is>
          <t>Pass</t>
        </is>
      </c>
      <c r="J2" s="8" t="n"/>
      <c r="K2" s="7" t="n"/>
    </row>
    <row r="3">
      <c r="A3" s="7" t="inlineStr">
        <is>
          <t>X-02</t>
        </is>
      </c>
      <c r="B3" s="7" t="inlineStr">
        <is>
          <t>Open opportunities is the same on every page</t>
        </is>
      </c>
      <c r="C3" s="7" t="inlineStr">
        <is>
          <t>Core suite</t>
        </is>
      </c>
      <c r="D3" s="7" t="inlineStr">
        <is>
          <t>Hub, dashboard and report modules</t>
        </is>
      </c>
      <c r="E3" s="8" t="inlineStr">
        <is>
          <t>REQ-X-01</t>
        </is>
      </c>
      <c r="F3" s="8" t="n"/>
      <c r="G3" s="7" t="inlineStr">
        <is>
          <t>Yes</t>
        </is>
      </c>
      <c r="H3" s="7" t="inlineStr">
        <is>
          <t>tests/consistency.spec.ts</t>
        </is>
      </c>
      <c r="I3" s="8" t="inlineStr">
        <is>
          <t>Fail</t>
        </is>
      </c>
      <c r="J3" s="8" t="inlineStr">
        <is>
          <t>DEF-02</t>
        </is>
      </c>
      <c r="K3" s="7" t="inlineStr">
        <is>
          <t>Error: Open opportunities differs:</t>
        </is>
      </c>
    </row>
    <row r="4">
      <c r="A4" s="7" t="inlineStr">
        <is>
          <t>X-03</t>
        </is>
      </c>
      <c r="B4" s="7" t="inlineStr">
        <is>
          <t>Pipeline value is the same on every page</t>
        </is>
      </c>
      <c r="C4" s="7" t="inlineStr">
        <is>
          <t>Core suite</t>
        </is>
      </c>
      <c r="D4" s="7" t="inlineStr">
        <is>
          <t>Hub, dashboard and report modules</t>
        </is>
      </c>
      <c r="E4" s="8" t="inlineStr">
        <is>
          <t>REQ-X-01</t>
        </is>
      </c>
      <c r="F4" s="8" t="n"/>
      <c r="G4" s="7" t="inlineStr">
        <is>
          <t>Yes</t>
        </is>
      </c>
      <c r="H4" s="7" t="inlineStr">
        <is>
          <t>tests/consistency.spec.ts</t>
        </is>
      </c>
      <c r="I4" s="8" t="inlineStr">
        <is>
          <t>Fail</t>
        </is>
      </c>
      <c r="J4" s="8" t="inlineStr">
        <is>
          <t>DEF-03</t>
        </is>
      </c>
      <c r="K4" s="7" t="inlineStr">
        <is>
          <t>Error: Pipeline value differs:</t>
        </is>
      </c>
    </row>
    <row r="5">
      <c r="A5" s="7" t="inlineStr">
        <is>
          <t>X-04</t>
        </is>
      </c>
      <c r="B5" s="7" t="inlineStr">
        <is>
          <t>Weighted pipeline is the same on every page</t>
        </is>
      </c>
      <c r="C5" s="7" t="inlineStr">
        <is>
          <t>Core suite</t>
        </is>
      </c>
      <c r="D5" s="7" t="inlineStr">
        <is>
          <t>Hub, dashboard and report modules</t>
        </is>
      </c>
      <c r="E5" s="8" t="inlineStr">
        <is>
          <t>REQ-X-01</t>
        </is>
      </c>
      <c r="F5" s="8" t="n"/>
      <c r="G5" s="7" t="inlineStr">
        <is>
          <t>Yes</t>
        </is>
      </c>
      <c r="H5" s="7" t="inlineStr">
        <is>
          <t>tests/consistency.spec.ts</t>
        </is>
      </c>
      <c r="I5" s="8" t="inlineStr">
        <is>
          <t>Fail</t>
        </is>
      </c>
      <c r="J5" s="8" t="inlineStr">
        <is>
          <t>DEF-03</t>
        </is>
      </c>
      <c r="K5" s="7" t="inlineStr">
        <is>
          <t>Error: Weighted pipeline differs:</t>
        </is>
      </c>
    </row>
    <row r="6">
      <c r="A6" s="7" t="inlineStr">
        <is>
          <t>X-05</t>
        </is>
      </c>
      <c r="B6" s="7" t="inlineStr">
        <is>
          <t>Units available is the same on every page</t>
        </is>
      </c>
      <c r="C6" s="7" t="inlineStr">
        <is>
          <t>Core suite</t>
        </is>
      </c>
      <c r="D6" s="7" t="inlineStr">
        <is>
          <t>Hub, dashboard and report modules</t>
        </is>
      </c>
      <c r="E6" s="8" t="inlineStr">
        <is>
          <t>REQ-X-01</t>
        </is>
      </c>
      <c r="F6" s="8" t="n"/>
      <c r="G6" s="7" t="inlineStr">
        <is>
          <t>Yes</t>
        </is>
      </c>
      <c r="H6" s="7" t="inlineStr">
        <is>
          <t>tests/consistency.spec.ts</t>
        </is>
      </c>
      <c r="I6" s="8" t="inlineStr">
        <is>
          <t>Pass</t>
        </is>
      </c>
      <c r="J6" s="8" t="n"/>
      <c r="K6" s="7" t="n"/>
    </row>
    <row r="7">
      <c r="A7" s="7" t="inlineStr">
        <is>
          <t>X-06</t>
        </is>
      </c>
      <c r="B7" s="7" t="inlineStr">
        <is>
          <t>Units reserved is the same on every page</t>
        </is>
      </c>
      <c r="C7" s="7" t="inlineStr">
        <is>
          <t>Core suite</t>
        </is>
      </c>
      <c r="D7" s="7" t="inlineStr">
        <is>
          <t>Hub, dashboard and report modules</t>
        </is>
      </c>
      <c r="E7" s="8" t="inlineStr">
        <is>
          <t>REQ-X-01</t>
        </is>
      </c>
      <c r="F7" s="8" t="n"/>
      <c r="G7" s="7" t="inlineStr">
        <is>
          <t>Yes</t>
        </is>
      </c>
      <c r="H7" s="7" t="inlineStr">
        <is>
          <t>tests/consistency.spec.ts</t>
        </is>
      </c>
      <c r="I7" s="8" t="inlineStr">
        <is>
          <t>Pass</t>
        </is>
      </c>
      <c r="J7" s="8" t="inlineStr">
        <is>
          <t>DEF-04</t>
        </is>
      </c>
      <c r="K7" s="7" t="n"/>
    </row>
    <row r="8">
      <c r="A8" s="7" t="inlineStr">
        <is>
          <t>X-07</t>
        </is>
      </c>
      <c r="B8" s="7" t="inlineStr">
        <is>
          <t>Units sold is the same on every page</t>
        </is>
      </c>
      <c r="C8" s="7" t="inlineStr">
        <is>
          <t>Core suite</t>
        </is>
      </c>
      <c r="D8" s="7" t="inlineStr">
        <is>
          <t>Hub, dashboard and report modules</t>
        </is>
      </c>
      <c r="E8" s="8" t="inlineStr">
        <is>
          <t>REQ-X-01</t>
        </is>
      </c>
      <c r="F8" s="8" t="n"/>
      <c r="G8" s="7" t="inlineStr">
        <is>
          <t>Yes</t>
        </is>
      </c>
      <c r="H8" s="7" t="inlineStr">
        <is>
          <t>tests/consistency.spec.ts</t>
        </is>
      </c>
      <c r="I8" s="8" t="inlineStr">
        <is>
          <t>Pass</t>
        </is>
      </c>
      <c r="J8" s="8" t="inlineStr">
        <is>
          <t>DEF-04</t>
        </is>
      </c>
      <c r="K8" s="7" t="n"/>
    </row>
    <row r="9">
      <c r="A9" s="7" t="inlineStr">
        <is>
          <t>X-08</t>
        </is>
      </c>
      <c r="B9" s="7" t="inlineStr">
        <is>
          <t>SPA value signed this month is the same on every page</t>
        </is>
      </c>
      <c r="C9" s="7" t="inlineStr">
        <is>
          <t>Core suite</t>
        </is>
      </c>
      <c r="D9" s="7" t="inlineStr">
        <is>
          <t>Hub, dashboard and report modules</t>
        </is>
      </c>
      <c r="E9" s="8" t="inlineStr">
        <is>
          <t>REQ-X-01</t>
        </is>
      </c>
      <c r="F9" s="8" t="n"/>
      <c r="G9" s="7" t="inlineStr">
        <is>
          <t>Yes</t>
        </is>
      </c>
      <c r="H9" s="7" t="inlineStr">
        <is>
          <t>tests/consistency.spec.ts</t>
        </is>
      </c>
      <c r="I9" s="8" t="inlineStr">
        <is>
          <t>Pass</t>
        </is>
      </c>
      <c r="J9" s="8" t="n"/>
      <c r="K9" s="7" t="n"/>
    </row>
    <row r="10">
      <c r="A10" s="7" t="inlineStr">
        <is>
          <t>X-09</t>
        </is>
      </c>
      <c r="B10" s="7" t="inlineStr">
        <is>
          <t>SPAs signed this month is the same on every page</t>
        </is>
      </c>
      <c r="C10" s="7" t="inlineStr">
        <is>
          <t>Core suite</t>
        </is>
      </c>
      <c r="D10" s="7" t="inlineStr">
        <is>
          <t>Hub, dashboard and report modules</t>
        </is>
      </c>
      <c r="E10" s="8" t="inlineStr">
        <is>
          <t>REQ-X-01</t>
        </is>
      </c>
      <c r="F10" s="8" t="n"/>
      <c r="G10" s="7" t="inlineStr">
        <is>
          <t>Yes</t>
        </is>
      </c>
      <c r="H10" s="7" t="inlineStr">
        <is>
          <t>tests/consistency.spec.ts</t>
        </is>
      </c>
      <c r="I10" s="8" t="inlineStr">
        <is>
          <t>Pass</t>
        </is>
      </c>
      <c r="J10" s="8" t="n"/>
      <c r="K10" s="7" t="n"/>
    </row>
    <row r="11">
      <c r="A11" s="7" t="inlineStr">
        <is>
          <t>X-10</t>
        </is>
      </c>
      <c r="B11" s="7" t="inlineStr">
        <is>
          <t>Won opportunities this month is the same on every page</t>
        </is>
      </c>
      <c r="C11" s="7" t="inlineStr">
        <is>
          <t>Core suite</t>
        </is>
      </c>
      <c r="D11" s="7" t="inlineStr">
        <is>
          <t>Hub, dashboard and report modules</t>
        </is>
      </c>
      <c r="E11" s="8" t="inlineStr">
        <is>
          <t>REQ-X-01</t>
        </is>
      </c>
      <c r="F11" s="8" t="n"/>
      <c r="G11" s="7" t="inlineStr">
        <is>
          <t>Yes</t>
        </is>
      </c>
      <c r="H11" s="7" t="inlineStr">
        <is>
          <t>tests/consistency.spec.ts</t>
        </is>
      </c>
      <c r="I11" s="8" t="inlineStr">
        <is>
          <t>Fail</t>
        </is>
      </c>
      <c r="J11" s="8" t="inlineStr">
        <is>
          <t>DEF-05</t>
        </is>
      </c>
      <c r="K11" s="7" t="inlineStr">
        <is>
          <t>Error: Won opportunities this month differs:</t>
        </is>
      </c>
    </row>
    <row r="12">
      <c r="A12" s="7" t="inlineStr">
        <is>
          <t>X-11</t>
        </is>
      </c>
      <c r="B12" s="7" t="inlineStr">
        <is>
          <t>Collections received is the same on every page</t>
        </is>
      </c>
      <c r="C12" s="7" t="inlineStr">
        <is>
          <t>Core suite</t>
        </is>
      </c>
      <c r="D12" s="7" t="inlineStr">
        <is>
          <t>Hub, dashboard and report modules</t>
        </is>
      </c>
      <c r="E12" s="8" t="inlineStr">
        <is>
          <t>REQ-X-01</t>
        </is>
      </c>
      <c r="F12" s="8" t="n"/>
      <c r="G12" s="7" t="inlineStr">
        <is>
          <t>Yes</t>
        </is>
      </c>
      <c r="H12" s="7" t="inlineStr">
        <is>
          <t>tests/consistency.spec.ts</t>
        </is>
      </c>
      <c r="I12" s="8" t="inlineStr">
        <is>
          <t>Pass</t>
        </is>
      </c>
      <c r="J12" s="8" t="n"/>
      <c r="K12" s="7" t="n"/>
    </row>
    <row r="13">
      <c r="A13" s="7" t="inlineStr">
        <is>
          <t>X-12</t>
        </is>
      </c>
      <c r="B13" s="7" t="inlineStr">
        <is>
          <t>Outstanding amount is the same on every page</t>
        </is>
      </c>
      <c r="C13" s="7" t="inlineStr">
        <is>
          <t>Core suite</t>
        </is>
      </c>
      <c r="D13" s="7" t="inlineStr">
        <is>
          <t>Hub, dashboard and report modules</t>
        </is>
      </c>
      <c r="E13" s="8" t="inlineStr">
        <is>
          <t>REQ-X-01</t>
        </is>
      </c>
      <c r="F13" s="8" t="n"/>
      <c r="G13" s="7" t="inlineStr">
        <is>
          <t>Yes</t>
        </is>
      </c>
      <c r="H13" s="7" t="inlineStr">
        <is>
          <t>tests/consistency.spec.ts</t>
        </is>
      </c>
      <c r="I13" s="8" t="inlineStr">
        <is>
          <t>Pass</t>
        </is>
      </c>
      <c r="J13" s="8" t="n"/>
      <c r="K13" s="7" t="n"/>
    </row>
    <row r="14">
      <c r="A14" s="7" t="inlineStr">
        <is>
          <t>X-13</t>
        </is>
      </c>
      <c r="B14" s="7" t="inlineStr">
        <is>
          <t>Reservations past expiry is the same on every page</t>
        </is>
      </c>
      <c r="C14" s="7" t="inlineStr">
        <is>
          <t>Core suite</t>
        </is>
      </c>
      <c r="D14" s="7" t="inlineStr">
        <is>
          <t>Hub, dashboard and report modules</t>
        </is>
      </c>
      <c r="E14" s="8" t="inlineStr">
        <is>
          <t>REQ-X-01</t>
        </is>
      </c>
      <c r="F14" s="8" t="n"/>
      <c r="G14" s="7" t="inlineStr">
        <is>
          <t>Yes</t>
        </is>
      </c>
      <c r="H14" s="7" t="inlineStr">
        <is>
          <t>tests/consistency.spec.ts</t>
        </is>
      </c>
      <c r="I14" s="8" t="inlineStr">
        <is>
          <t>Pass</t>
        </is>
      </c>
      <c r="J14" s="8" t="n"/>
      <c r="K14" s="7" t="n"/>
    </row>
    <row r="15">
      <c r="A15" s="7" t="inlineStr">
        <is>
          <t>X-14</t>
        </is>
      </c>
      <c r="B15" s="7" t="inlineStr">
        <is>
          <t>Active reservations is the same on every page</t>
        </is>
      </c>
      <c r="C15" s="7" t="inlineStr">
        <is>
          <t>Core suite</t>
        </is>
      </c>
      <c r="D15" s="7" t="inlineStr">
        <is>
          <t>Hub, dashboard and report modules</t>
        </is>
      </c>
      <c r="E15" s="8" t="inlineStr">
        <is>
          <t>REQ-X-01</t>
        </is>
      </c>
      <c r="F15" s="8" t="n"/>
      <c r="G15" s="7" t="inlineStr">
        <is>
          <t>Yes</t>
        </is>
      </c>
      <c r="H15" s="7" t="inlineStr">
        <is>
          <t>tests/consistency.spec.ts</t>
        </is>
      </c>
      <c r="I15" s="8" t="inlineStr">
        <is>
          <t>Pass</t>
        </is>
      </c>
      <c r="J15" s="8" t="n"/>
      <c r="K15" s="7" t="n"/>
    </row>
    <row r="16">
      <c r="A16" s="7" t="inlineStr">
        <is>
          <t>X-15</t>
        </is>
      </c>
      <c r="B16" s="7" t="inlineStr">
        <is>
          <t>Reservations expiring in 7 days is the same on every page</t>
        </is>
      </c>
      <c r="C16" s="7" t="inlineStr">
        <is>
          <t>Core suite</t>
        </is>
      </c>
      <c r="D16" s="7" t="inlineStr">
        <is>
          <t>Hub, dashboard and report modules</t>
        </is>
      </c>
      <c r="E16" s="8" t="inlineStr">
        <is>
          <t>REQ-X-01</t>
        </is>
      </c>
      <c r="F16" s="8" t="n"/>
      <c r="G16" s="7" t="inlineStr">
        <is>
          <t>Yes</t>
        </is>
      </c>
      <c r="H16" s="7" t="inlineStr">
        <is>
          <t>tests/consistency.spec.ts</t>
        </is>
      </c>
      <c r="I16" s="8" t="inlineStr">
        <is>
          <t>Pass</t>
        </is>
      </c>
      <c r="J16" s="8" t="n"/>
      <c r="K16" s="7" t="n"/>
    </row>
    <row r="17">
      <c r="A17" s="7" t="inlineStr">
        <is>
          <t>X-16</t>
        </is>
      </c>
      <c r="B17" s="7" t="inlineStr">
        <is>
          <t>Won value is the same on every page</t>
        </is>
      </c>
      <c r="C17" s="7" t="inlineStr">
        <is>
          <t>Core suite</t>
        </is>
      </c>
      <c r="D17" s="7" t="inlineStr">
        <is>
          <t>Hub, dashboard and report modules</t>
        </is>
      </c>
      <c r="E17" s="8" t="inlineStr">
        <is>
          <t>REQ-X-01</t>
        </is>
      </c>
      <c r="F17" s="8" t="n"/>
      <c r="G17" s="7" t="inlineStr">
        <is>
          <t>Yes</t>
        </is>
      </c>
      <c r="H17" s="7" t="inlineStr">
        <is>
          <t>tests/consistency.spec.ts</t>
        </is>
      </c>
      <c r="I17" s="8" t="inlineStr">
        <is>
          <t>Pass</t>
        </is>
      </c>
      <c r="J17" s="8" t="n"/>
      <c r="K17" s="7" t="n"/>
    </row>
    <row r="18">
      <c r="A18" s="7" t="inlineStr">
        <is>
          <t>M-01</t>
        </is>
      </c>
      <c r="B18" s="7" t="inlineStr">
        <is>
          <t>Hub: Available + Reserved + Sold = Inventory total units</t>
        </is>
      </c>
      <c r="C18" s="7" t="inlineStr">
        <is>
          <t>Core suite</t>
        </is>
      </c>
      <c r="D18" s="7" t="inlineStr">
        <is>
          <t>Hub, dashboard and report modules</t>
        </is>
      </c>
      <c r="E18" s="8" t="inlineStr">
        <is>
          <t>REQ-X-01</t>
        </is>
      </c>
      <c r="F18" s="8" t="n"/>
      <c r="G18" s="7" t="inlineStr">
        <is>
          <t>Yes</t>
        </is>
      </c>
      <c r="H18" s="7" t="inlineStr">
        <is>
          <t>tests/consistency.spec.ts</t>
        </is>
      </c>
      <c r="I18" s="8" t="inlineStr">
        <is>
          <t>Pass</t>
        </is>
      </c>
      <c r="J18" s="8" t="n"/>
      <c r="K18" s="7" t="n"/>
    </row>
    <row r="19">
      <c r="A19" s="7" t="inlineStr">
        <is>
          <t>M-02</t>
        </is>
      </c>
      <c r="B19" s="7" t="inlineStr">
        <is>
          <t>Inventory: Available + Reserved + Sold (+Other) = Total; Sold % correct; project table sums</t>
        </is>
      </c>
      <c r="C19" s="7" t="inlineStr">
        <is>
          <t>Core suite</t>
        </is>
      </c>
      <c r="D19" s="7" t="inlineStr">
        <is>
          <t>Inventory Reports</t>
        </is>
      </c>
      <c r="E19" s="8" t="inlineStr">
        <is>
          <t>REQ-INV-06</t>
        </is>
      </c>
      <c r="F19" s="8" t="n"/>
      <c r="G19" s="7" t="inlineStr">
        <is>
          <t>Yes</t>
        </is>
      </c>
      <c r="H19" s="7" t="inlineStr">
        <is>
          <t>tests/consistency.spec.ts</t>
        </is>
      </c>
      <c r="I19" s="8" t="inlineStr">
        <is>
          <t>Pass</t>
        </is>
      </c>
      <c r="J19" s="8" t="n"/>
      <c r="K19" s="7" t="n"/>
    </row>
    <row r="20">
      <c r="A20" s="7" t="inlineStr">
        <is>
          <t>M-03</t>
        </is>
      </c>
      <c r="B20" s="7" t="inlineStr">
        <is>
          <t>Collections: Scheduled − Received = Outstanding; rates add up</t>
        </is>
      </c>
      <c r="C20" s="7" t="inlineStr">
        <is>
          <t>Core suite</t>
        </is>
      </c>
      <c r="D20" s="7" t="inlineStr">
        <is>
          <t>Collection Reports</t>
        </is>
      </c>
      <c r="E20" s="8" t="inlineStr">
        <is>
          <t>REQ-COL-06</t>
        </is>
      </c>
      <c r="F20" s="8" t="n"/>
      <c r="G20" s="7" t="inlineStr">
        <is>
          <t>Yes</t>
        </is>
      </c>
      <c r="H20" s="7" t="inlineStr">
        <is>
          <t>tests/consistency.spec.ts</t>
        </is>
      </c>
      <c r="I20" s="8" t="inlineStr">
        <is>
          <t>Fail</t>
        </is>
      </c>
      <c r="J20" s="8" t="inlineStr">
        <is>
          <t>DEF-07</t>
        </is>
      </c>
      <c r="K20" s="7" t="inlineStr">
        <is>
          <t>Error: Collection rate = Received / Scheduled</t>
        </is>
      </c>
    </row>
    <row r="21">
      <c r="A21" s="7" t="inlineStr">
        <is>
          <t>M-04</t>
        </is>
      </c>
      <c r="B21" s="7" t="inlineStr">
        <is>
          <t>Reservations: Conversion rate = Converted / Reservations</t>
        </is>
      </c>
      <c r="C21" s="7" t="inlineStr">
        <is>
          <t>Core suite</t>
        </is>
      </c>
      <c r="D21" s="7" t="inlineStr">
        <is>
          <t>Reservation Reports</t>
        </is>
      </c>
      <c r="E21" s="8" t="inlineStr">
        <is>
          <t>REQ-RES-06</t>
        </is>
      </c>
      <c r="F21" s="8" t="n"/>
      <c r="G21" s="7" t="inlineStr">
        <is>
          <t>Yes</t>
        </is>
      </c>
      <c r="H21" s="7" t="inlineStr">
        <is>
          <t>tests/consistency.spec.ts</t>
        </is>
      </c>
      <c r="I21" s="8" t="inlineStr">
        <is>
          <t>Pass</t>
        </is>
      </c>
      <c r="J21" s="8" t="n"/>
      <c r="K21" s="7" t="n"/>
    </row>
    <row r="22">
      <c r="A22" s="7" t="inlineStr">
        <is>
          <t>M-05</t>
        </is>
      </c>
      <c r="B22" s="7" t="inlineStr">
        <is>
          <t>SPA: Average SPA value = Signed value / SPAs signed</t>
        </is>
      </c>
      <c r="C22" s="7" t="inlineStr">
        <is>
          <t>Core suite</t>
        </is>
      </c>
      <c r="D22" s="7" t="inlineStr">
        <is>
          <t>SPA Reports</t>
        </is>
      </c>
      <c r="E22" s="8" t="inlineStr">
        <is>
          <t>REQ-SPA-06</t>
        </is>
      </c>
      <c r="F22" s="8" t="n"/>
      <c r="G22" s="7" t="inlineStr">
        <is>
          <t>Yes</t>
        </is>
      </c>
      <c r="H22" s="7" t="inlineStr">
        <is>
          <t>tests/consistency.spec.ts</t>
        </is>
      </c>
      <c r="I22" s="8" t="inlineStr">
        <is>
          <t>Pass</t>
        </is>
      </c>
      <c r="J22" s="8" t="n"/>
      <c r="K22" s="7" t="n"/>
    </row>
    <row r="23">
      <c r="A23" s="7" t="inlineStr">
        <is>
          <t>M-06</t>
        </is>
      </c>
      <c r="B23" s="7" t="inlineStr">
        <is>
          <t>Marketing: Cost per lead = Budget / Campaign leads</t>
        </is>
      </c>
      <c r="C23" s="7" t="inlineStr">
        <is>
          <t>Core suite</t>
        </is>
      </c>
      <c r="D23" s="7" t="inlineStr">
        <is>
          <t>Marketing Reports</t>
        </is>
      </c>
      <c r="E23" s="8" t="inlineStr">
        <is>
          <t>REQ-MKT-06</t>
        </is>
      </c>
      <c r="F23" s="8" t="n"/>
      <c r="G23" s="7" t="inlineStr">
        <is>
          <t>Yes</t>
        </is>
      </c>
      <c r="H23" s="7" t="inlineStr">
        <is>
          <t>tests/consistency.spec.ts</t>
        </is>
      </c>
      <c r="I23" s="8" t="inlineStr">
        <is>
          <t>Pass</t>
        </is>
      </c>
      <c r="J23" s="8" t="n"/>
      <c r="K23" s="7" t="n"/>
    </row>
    <row r="24">
      <c r="A24" s="7" t="inlineStr">
        <is>
          <t>M-07</t>
        </is>
      </c>
      <c r="B24" s="7" t="inlineStr">
        <is>
          <t>Exceptions: Open exceptions = sum of the summary table "Open" column</t>
        </is>
      </c>
      <c r="C24" s="7" t="inlineStr">
        <is>
          <t>Core suite</t>
        </is>
      </c>
      <c r="D24" s="7" t="inlineStr">
        <is>
          <t>Exception Reports</t>
        </is>
      </c>
      <c r="E24" s="8" t="inlineStr">
        <is>
          <t>REQ-EXC-06</t>
        </is>
      </c>
      <c r="F24" s="8" t="n"/>
      <c r="G24" s="7" t="inlineStr">
        <is>
          <t>Yes</t>
        </is>
      </c>
      <c r="H24" s="7" t="inlineStr">
        <is>
          <t>tests/consistency.spec.ts</t>
        </is>
      </c>
      <c r="I24" s="8" t="inlineStr">
        <is>
          <t>Pass</t>
        </is>
      </c>
      <c r="J24" s="8" t="n"/>
      <c r="K24" s="7" t="n"/>
    </row>
    <row r="25">
      <c r="A25" s="7" t="inlineStr">
        <is>
          <t>M-08</t>
        </is>
      </c>
      <c r="B25" s="7" t="inlineStr">
        <is>
          <t>Sales: stage table total = Open opportunities and Pipeline value</t>
        </is>
      </c>
      <c r="C25" s="7" t="inlineStr">
        <is>
          <t>Core suite</t>
        </is>
      </c>
      <c r="D25" s="7" t="inlineStr">
        <is>
          <t>Sales Reports</t>
        </is>
      </c>
      <c r="E25" s="8" t="inlineStr">
        <is>
          <t>REQ-SAL-06</t>
        </is>
      </c>
      <c r="F25" s="8" t="n"/>
      <c r="G25" s="7" t="inlineStr">
        <is>
          <t>Yes</t>
        </is>
      </c>
      <c r="H25" s="7" t="inlineStr">
        <is>
          <t>tests/consistency.spec.ts</t>
        </is>
      </c>
      <c r="I25" s="8" t="inlineStr">
        <is>
          <t>Pass</t>
        </is>
      </c>
      <c r="J25" s="8" t="n"/>
      <c r="K25" s="7" t="n"/>
    </row>
    <row r="26">
      <c r="A26" s="7" t="inlineStr">
        <is>
          <t>DB-RA-01</t>
        </is>
      </c>
      <c r="B26" s="7" t="inlineStr">
        <is>
          <t>Active Leads: UI = DB</t>
        </is>
      </c>
      <c r="C26" s="7" t="inlineStr">
        <is>
          <t>Database checks</t>
        </is>
      </c>
      <c r="D26" s="7" t="inlineStr">
        <is>
          <t>All report pages</t>
        </is>
      </c>
      <c r="E26" s="8" t="inlineStr">
        <is>
          <t>REQ-X-02</t>
        </is>
      </c>
      <c r="F26" s="8" t="n"/>
      <c r="G26" s="7" t="inlineStr">
        <is>
          <t>Yes</t>
        </is>
      </c>
      <c r="H26" s="7" t="inlineStr">
        <is>
          <t>tests/db.spec.ts</t>
        </is>
      </c>
      <c r="I26" s="8" t="inlineStr">
        <is>
          <t>Skipped</t>
        </is>
      </c>
      <c r="J26" s="8" t="n"/>
      <c r="K26" s="7" t="inlineStr">
        <is>
          <t>Database tests off (SKIP_DB_TESTS=true) or not configured — see .env</t>
        </is>
      </c>
    </row>
    <row r="27">
      <c r="A27" s="7" t="inlineStr">
        <is>
          <t>DB-RA-02</t>
        </is>
      </c>
      <c r="B27" s="7" t="inlineStr">
        <is>
          <t>Open Opportunities: UI = DB</t>
        </is>
      </c>
      <c r="C27" s="7" t="inlineStr">
        <is>
          <t>Database checks</t>
        </is>
      </c>
      <c r="D27" s="7" t="inlineStr">
        <is>
          <t>All report pages</t>
        </is>
      </c>
      <c r="E27" s="8" t="inlineStr">
        <is>
          <t>REQ-X-02</t>
        </is>
      </c>
      <c r="F27" s="8" t="n"/>
      <c r="G27" s="7" t="inlineStr">
        <is>
          <t>Yes</t>
        </is>
      </c>
      <c r="H27" s="7" t="inlineStr">
        <is>
          <t>tests/db.spec.ts</t>
        </is>
      </c>
      <c r="I27" s="8" t="inlineStr">
        <is>
          <t>Skipped</t>
        </is>
      </c>
      <c r="J27" s="8" t="n"/>
      <c r="K27" s="7" t="inlineStr">
        <is>
          <t>Database tests off (SKIP_DB_TESTS=true) or not configured — see .env</t>
        </is>
      </c>
    </row>
    <row r="28">
      <c r="A28" s="7" t="inlineStr">
        <is>
          <t>DB-RA-03</t>
        </is>
      </c>
      <c r="B28" s="7" t="inlineStr">
        <is>
          <t>Units Reserved: UI = DB</t>
        </is>
      </c>
      <c r="C28" s="7" t="inlineStr">
        <is>
          <t>Database checks</t>
        </is>
      </c>
      <c r="D28" s="7" t="inlineStr">
        <is>
          <t>All report pages</t>
        </is>
      </c>
      <c r="E28" s="8" t="inlineStr">
        <is>
          <t>REQ-X-02</t>
        </is>
      </c>
      <c r="F28" s="8" t="n"/>
      <c r="G28" s="7" t="inlineStr">
        <is>
          <t>Yes</t>
        </is>
      </c>
      <c r="H28" s="7" t="inlineStr">
        <is>
          <t>tests/db.spec.ts</t>
        </is>
      </c>
      <c r="I28" s="8" t="inlineStr">
        <is>
          <t>Skipped</t>
        </is>
      </c>
      <c r="J28" s="8" t="n"/>
      <c r="K28" s="7" t="inlineStr">
        <is>
          <t>Database tests off (SKIP_DB_TESTS=true) or not configured — see .env</t>
        </is>
      </c>
    </row>
    <row r="29">
      <c r="A29" s="7" t="inlineStr">
        <is>
          <t>DB-RA-04</t>
        </is>
      </c>
      <c r="B29" s="7" t="inlineStr">
        <is>
          <t>Units Available: UI = DB</t>
        </is>
      </c>
      <c r="C29" s="7" t="inlineStr">
        <is>
          <t>Database checks</t>
        </is>
      </c>
      <c r="D29" s="7" t="inlineStr">
        <is>
          <t>All report pages</t>
        </is>
      </c>
      <c r="E29" s="8" t="inlineStr">
        <is>
          <t>REQ-X-02</t>
        </is>
      </c>
      <c r="F29" s="8" t="n"/>
      <c r="G29" s="7" t="inlineStr">
        <is>
          <t>Yes</t>
        </is>
      </c>
      <c r="H29" s="7" t="inlineStr">
        <is>
          <t>tests/db.spec.ts</t>
        </is>
      </c>
      <c r="I29" s="8" t="inlineStr">
        <is>
          <t>Skipped</t>
        </is>
      </c>
      <c r="J29" s="8" t="n"/>
      <c r="K29" s="7" t="inlineStr">
        <is>
          <t>Database tests off (SKIP_DB_TESTS=true) or not configured — see .env</t>
        </is>
      </c>
    </row>
    <row r="30">
      <c r="A30" s="7" t="inlineStr">
        <is>
          <t>DB-RA-05</t>
        </is>
      </c>
      <c r="B30" s="7" t="inlineStr">
        <is>
          <t>Pipeline Value (USD): UI = DB</t>
        </is>
      </c>
      <c r="C30" s="7" t="inlineStr">
        <is>
          <t>Database checks</t>
        </is>
      </c>
      <c r="D30" s="7" t="inlineStr">
        <is>
          <t>All report pages</t>
        </is>
      </c>
      <c r="E30" s="8" t="inlineStr">
        <is>
          <t>REQ-X-02</t>
        </is>
      </c>
      <c r="F30" s="8" t="n"/>
      <c r="G30" s="7" t="inlineStr">
        <is>
          <t>Yes</t>
        </is>
      </c>
      <c r="H30" s="7" t="inlineStr">
        <is>
          <t>tests/db.spec.ts</t>
        </is>
      </c>
      <c r="I30" s="8" t="inlineStr">
        <is>
          <t>Skipped</t>
        </is>
      </c>
      <c r="J30" s="8" t="n"/>
      <c r="K30" s="7" t="inlineStr">
        <is>
          <t>Database tests off (SKIP_DB_TESTS=true) or not configured — see .env</t>
        </is>
      </c>
    </row>
    <row r="31">
      <c r="A31" s="7" t="inlineStr">
        <is>
          <t>DB-RA-06</t>
        </is>
      </c>
      <c r="B31" s="7" t="inlineStr">
        <is>
          <t>SPA Value Signed (This Month): UI = DB</t>
        </is>
      </c>
      <c r="C31" s="7" t="inlineStr">
        <is>
          <t>Database checks</t>
        </is>
      </c>
      <c r="D31" s="7" t="inlineStr">
        <is>
          <t>All report pages</t>
        </is>
      </c>
      <c r="E31" s="8" t="inlineStr">
        <is>
          <t>REQ-X-02</t>
        </is>
      </c>
      <c r="F31" s="8" t="n"/>
      <c r="G31" s="7" t="inlineStr">
        <is>
          <t>Yes</t>
        </is>
      </c>
      <c r="H31" s="7" t="inlineStr">
        <is>
          <t>tests/db.spec.ts</t>
        </is>
      </c>
      <c r="I31" s="8" t="inlineStr">
        <is>
          <t>Skipped</t>
        </is>
      </c>
      <c r="J31" s="8" t="n"/>
      <c r="K31" s="7" t="inlineStr">
        <is>
          <t>Database tests off (SKIP_DB_TESTS=true) or not configured — see .env</t>
        </is>
      </c>
    </row>
    <row r="32">
      <c r="A32" s="7" t="inlineStr">
        <is>
          <t>DB-RA-07</t>
        </is>
      </c>
      <c r="B32" s="7" t="inlineStr">
        <is>
          <t>Units Sold: UI = DB</t>
        </is>
      </c>
      <c r="C32" s="7" t="inlineStr">
        <is>
          <t>Database checks</t>
        </is>
      </c>
      <c r="D32" s="7" t="inlineStr">
        <is>
          <t>All report pages</t>
        </is>
      </c>
      <c r="E32" s="8" t="inlineStr">
        <is>
          <t>REQ-X-02</t>
        </is>
      </c>
      <c r="F32" s="8" t="n"/>
      <c r="G32" s="7" t="inlineStr">
        <is>
          <t>Yes</t>
        </is>
      </c>
      <c r="H32" s="7" t="inlineStr">
        <is>
          <t>tests/db.spec.ts</t>
        </is>
      </c>
      <c r="I32" s="8" t="inlineStr">
        <is>
          <t>Skipped</t>
        </is>
      </c>
      <c r="J32" s="8" t="n"/>
      <c r="K32" s="7" t="inlineStr">
        <is>
          <t>Database tests off (SKIP_DB_TESTS=true) or not configured — see .env</t>
        </is>
      </c>
    </row>
    <row r="33">
      <c r="A33" s="7" t="inlineStr">
        <is>
          <t>DB-RA-08</t>
        </is>
      </c>
      <c r="B33" s="7" t="inlineStr">
        <is>
          <t>Weighted Pipeline (USD): UI = DB</t>
        </is>
      </c>
      <c r="C33" s="7" t="inlineStr">
        <is>
          <t>Database checks</t>
        </is>
      </c>
      <c r="D33" s="7" t="inlineStr">
        <is>
          <t>All report pages</t>
        </is>
      </c>
      <c r="E33" s="8" t="inlineStr">
        <is>
          <t>REQ-X-02</t>
        </is>
      </c>
      <c r="F33" s="8" t="n"/>
      <c r="G33" s="7" t="inlineStr">
        <is>
          <t>Yes</t>
        </is>
      </c>
      <c r="H33" s="7" t="inlineStr">
        <is>
          <t>tests/db.spec.ts</t>
        </is>
      </c>
      <c r="I33" s="8" t="inlineStr">
        <is>
          <t>Skipped</t>
        </is>
      </c>
      <c r="J33" s="8" t="n"/>
      <c r="K33" s="7" t="inlineStr">
        <is>
          <t>Database tests off (SKIP_DB_TESTS=true) or not configured — see .env</t>
        </is>
      </c>
    </row>
    <row r="34">
      <c r="A34" s="7" t="inlineStr">
        <is>
          <t>DB-L-01</t>
        </is>
      </c>
      <c r="B34" s="7" t="inlineStr">
        <is>
          <t>Total Leads: UI = DB</t>
        </is>
      </c>
      <c r="C34" s="7" t="inlineStr">
        <is>
          <t>Database checks</t>
        </is>
      </c>
      <c r="D34" s="7" t="inlineStr">
        <is>
          <t>All report pages</t>
        </is>
      </c>
      <c r="E34" s="8" t="inlineStr">
        <is>
          <t>REQ-X-02</t>
        </is>
      </c>
      <c r="F34" s="8" t="n"/>
      <c r="G34" s="7" t="inlineStr">
        <is>
          <t>Yes</t>
        </is>
      </c>
      <c r="H34" s="7" t="inlineStr">
        <is>
          <t>tests/db.spec.ts</t>
        </is>
      </c>
      <c r="I34" s="8" t="inlineStr">
        <is>
          <t>Skipped</t>
        </is>
      </c>
      <c r="J34" s="8" t="n"/>
      <c r="K34" s="7" t="inlineStr">
        <is>
          <t>Database tests off (SKIP_DB_TESTS=true) or not configured — see .env</t>
        </is>
      </c>
    </row>
    <row r="35">
      <c r="A35" s="7" t="inlineStr">
        <is>
          <t>DB-L-02</t>
        </is>
      </c>
      <c r="B35" s="7" t="inlineStr">
        <is>
          <t>Assigned: UI = DB</t>
        </is>
      </c>
      <c r="C35" s="7" t="inlineStr">
        <is>
          <t>Database checks</t>
        </is>
      </c>
      <c r="D35" s="7" t="inlineStr">
        <is>
          <t>All report pages</t>
        </is>
      </c>
      <c r="E35" s="8" t="inlineStr">
        <is>
          <t>REQ-X-02</t>
        </is>
      </c>
      <c r="F35" s="8" t="n"/>
      <c r="G35" s="7" t="inlineStr">
        <is>
          <t>Yes</t>
        </is>
      </c>
      <c r="H35" s="7" t="inlineStr">
        <is>
          <t>tests/db.spec.ts</t>
        </is>
      </c>
      <c r="I35" s="8" t="inlineStr">
        <is>
          <t>Skipped</t>
        </is>
      </c>
      <c r="J35" s="8" t="n"/>
      <c r="K35" s="7" t="inlineStr">
        <is>
          <t>Database tests off (SKIP_DB_TESTS=true) or not configured — see .env</t>
        </is>
      </c>
    </row>
    <row r="36">
      <c r="A36" s="7" t="inlineStr">
        <is>
          <t>DB-L-03</t>
        </is>
      </c>
      <c r="B36" s="7" t="inlineStr">
        <is>
          <t>Unassigned tab: UI = DB</t>
        </is>
      </c>
      <c r="C36" s="7" t="inlineStr">
        <is>
          <t>Database checks</t>
        </is>
      </c>
      <c r="D36" s="7" t="inlineStr">
        <is>
          <t>All report pages</t>
        </is>
      </c>
      <c r="E36" s="8" t="inlineStr">
        <is>
          <t>REQ-X-02</t>
        </is>
      </c>
      <c r="F36" s="8" t="n"/>
      <c r="G36" s="7" t="inlineStr">
        <is>
          <t>Yes</t>
        </is>
      </c>
      <c r="H36" s="7" t="inlineStr">
        <is>
          <t>tests/db.spec.ts</t>
        </is>
      </c>
      <c r="I36" s="8" t="inlineStr">
        <is>
          <t>Skipped</t>
        </is>
      </c>
      <c r="J36" s="8" t="n"/>
      <c r="K36" s="7" t="inlineStr">
        <is>
          <t>Database tests off (SKIP_DB_TESTS=true) or not configured — see .env</t>
        </is>
      </c>
    </row>
    <row r="37">
      <c r="A37" s="7" t="inlineStr">
        <is>
          <t>DB-L-04</t>
        </is>
      </c>
      <c r="B37" s="7" t="inlineStr">
        <is>
          <t>Qualified: UI = DB</t>
        </is>
      </c>
      <c r="C37" s="7" t="inlineStr">
        <is>
          <t>Database checks</t>
        </is>
      </c>
      <c r="D37" s="7" t="inlineStr">
        <is>
          <t>All report pages</t>
        </is>
      </c>
      <c r="E37" s="8" t="inlineStr">
        <is>
          <t>REQ-X-02</t>
        </is>
      </c>
      <c r="F37" s="8" t="n"/>
      <c r="G37" s="7" t="inlineStr">
        <is>
          <t>Yes</t>
        </is>
      </c>
      <c r="H37" s="7" t="inlineStr">
        <is>
          <t>tests/db.spec.ts</t>
        </is>
      </c>
      <c r="I37" s="8" t="inlineStr">
        <is>
          <t>Skipped</t>
        </is>
      </c>
      <c r="J37" s="8" t="n"/>
      <c r="K37" s="7" t="inlineStr">
        <is>
          <t>Database tests off (SKIP_DB_TESTS=true) or not configured — see .env</t>
        </is>
      </c>
    </row>
    <row r="38">
      <c r="A38" s="7" t="inlineStr">
        <is>
          <t>DB-L-05</t>
        </is>
      </c>
      <c r="B38" s="7" t="inlineStr">
        <is>
          <t>Disqualified: UI = DB</t>
        </is>
      </c>
      <c r="C38" s="7" t="inlineStr">
        <is>
          <t>Database checks</t>
        </is>
      </c>
      <c r="D38" s="7" t="inlineStr">
        <is>
          <t>All report pages</t>
        </is>
      </c>
      <c r="E38" s="8" t="inlineStr">
        <is>
          <t>REQ-X-02</t>
        </is>
      </c>
      <c r="F38" s="8" t="n"/>
      <c r="G38" s="7" t="inlineStr">
        <is>
          <t>Yes</t>
        </is>
      </c>
      <c r="H38" s="7" t="inlineStr">
        <is>
          <t>tests/db.spec.ts</t>
        </is>
      </c>
      <c r="I38" s="8" t="inlineStr">
        <is>
          <t>Skipped</t>
        </is>
      </c>
      <c r="J38" s="8" t="n"/>
      <c r="K38" s="7" t="inlineStr">
        <is>
          <t>Database tests off (SKIP_DB_TESTS=true) or not configured — see .env</t>
        </is>
      </c>
    </row>
    <row r="39">
      <c r="A39" s="7" t="inlineStr">
        <is>
          <t>DB-L-06</t>
        </is>
      </c>
      <c r="B39" s="7" t="inlineStr">
        <is>
          <t>Avg Score: UI = DB</t>
        </is>
      </c>
      <c r="C39" s="7" t="inlineStr">
        <is>
          <t>Database checks</t>
        </is>
      </c>
      <c r="D39" s="7" t="inlineStr">
        <is>
          <t>All report pages</t>
        </is>
      </c>
      <c r="E39" s="8" t="inlineStr">
        <is>
          <t>REQ-X-02</t>
        </is>
      </c>
      <c r="F39" s="8" t="n"/>
      <c r="G39" s="7" t="inlineStr">
        <is>
          <t>Yes</t>
        </is>
      </c>
      <c r="H39" s="7" t="inlineStr">
        <is>
          <t>tests/db.spec.ts</t>
        </is>
      </c>
      <c r="I39" s="8" t="inlineStr">
        <is>
          <t>Skipped</t>
        </is>
      </c>
      <c r="J39" s="8" t="n"/>
      <c r="K39" s="7" t="inlineStr">
        <is>
          <t>Database tests off (SKIP_DB_TESTS=true) or not configured — see .env</t>
        </is>
      </c>
    </row>
    <row r="40">
      <c r="A40" s="7" t="inlineStr">
        <is>
          <t>DB-L-07</t>
        </is>
      </c>
      <c r="B40" s="7" t="inlineStr">
        <is>
          <t>To Qualify tab: UI = DB</t>
        </is>
      </c>
      <c r="C40" s="7" t="inlineStr">
        <is>
          <t>Database checks</t>
        </is>
      </c>
      <c r="D40" s="7" t="inlineStr">
        <is>
          <t>All report pages</t>
        </is>
      </c>
      <c r="E40" s="8" t="inlineStr">
        <is>
          <t>REQ-X-02</t>
        </is>
      </c>
      <c r="F40" s="8" t="n"/>
      <c r="G40" s="7" t="inlineStr">
        <is>
          <t>Yes</t>
        </is>
      </c>
      <c r="H40" s="7" t="inlineStr">
        <is>
          <t>tests/db.spec.ts</t>
        </is>
      </c>
      <c r="I40" s="8" t="inlineStr">
        <is>
          <t>Skipped</t>
        </is>
      </c>
      <c r="J40" s="8" t="n"/>
      <c r="K40" s="7" t="inlineStr">
        <is>
          <t>Database tests off (SKIP_DB_TESTS=true) or not configured — see .env</t>
        </is>
      </c>
    </row>
    <row r="41">
      <c r="A41" s="7" t="inlineStr">
        <is>
          <t>DB-L-08</t>
        </is>
      </c>
      <c r="B41" s="7" t="inlineStr">
        <is>
          <t>Ready to Convert tab: UI = DB</t>
        </is>
      </c>
      <c r="C41" s="7" t="inlineStr">
        <is>
          <t>Database checks</t>
        </is>
      </c>
      <c r="D41" s="7" t="inlineStr">
        <is>
          <t>All report pages</t>
        </is>
      </c>
      <c r="E41" s="8" t="inlineStr">
        <is>
          <t>REQ-X-02</t>
        </is>
      </c>
      <c r="F41" s="8" t="n"/>
      <c r="G41" s="7" t="inlineStr">
        <is>
          <t>Yes</t>
        </is>
      </c>
      <c r="H41" s="7" t="inlineStr">
        <is>
          <t>tests/db.spec.ts</t>
        </is>
      </c>
      <c r="I41" s="8" t="inlineStr">
        <is>
          <t>Skipped</t>
        </is>
      </c>
      <c r="J41" s="8" t="n"/>
      <c r="K41" s="7" t="inlineStr">
        <is>
          <t>Database tests off (SKIP_DB_TESTS=true) or not configured — see .env</t>
        </is>
      </c>
    </row>
    <row r="42">
      <c r="A42" s="7" t="inlineStr">
        <is>
          <t>DB-L-09</t>
        </is>
      </c>
      <c r="B42" s="7" t="inlineStr">
        <is>
          <t>My Leads tab: UI = DB</t>
        </is>
      </c>
      <c r="C42" s="7" t="inlineStr">
        <is>
          <t>Database checks</t>
        </is>
      </c>
      <c r="D42" s="7" t="inlineStr">
        <is>
          <t>All report pages</t>
        </is>
      </c>
      <c r="E42" s="8" t="inlineStr">
        <is>
          <t>REQ-X-02</t>
        </is>
      </c>
      <c r="F42" s="8" t="n"/>
      <c r="G42" s="7" t="inlineStr">
        <is>
          <t>Yes</t>
        </is>
      </c>
      <c r="H42" s="7" t="inlineStr">
        <is>
          <t>tests/db.spec.ts</t>
        </is>
      </c>
      <c r="I42" s="8" t="inlineStr">
        <is>
          <t>Skipped</t>
        </is>
      </c>
      <c r="J42" s="8" t="n"/>
      <c r="K42" s="7" t="inlineStr">
        <is>
          <t>Database tests off (SKIP_DB_TESTS=true) or not configured — see .env</t>
        </is>
      </c>
    </row>
    <row r="43">
      <c r="A43" s="7" t="inlineStr">
        <is>
          <t>DB-L-10</t>
        </is>
      </c>
      <c r="B43" s="7" t="inlineStr">
        <is>
          <t>every status count in the Leads filter = DB GROUP BY status</t>
        </is>
      </c>
      <c r="C43" s="7" t="inlineStr">
        <is>
          <t>Database checks</t>
        </is>
      </c>
      <c r="D43" s="7" t="inlineStr">
        <is>
          <t>All report pages</t>
        </is>
      </c>
      <c r="E43" s="8" t="inlineStr">
        <is>
          <t>REQ-X-02</t>
        </is>
      </c>
      <c r="F43" s="8" t="n"/>
      <c r="G43" s="7" t="inlineStr">
        <is>
          <t>Yes</t>
        </is>
      </c>
      <c r="H43" s="7" t="inlineStr">
        <is>
          <t>tests/db.spec.ts</t>
        </is>
      </c>
      <c r="I43" s="8" t="inlineStr">
        <is>
          <t>Skipped</t>
        </is>
      </c>
      <c r="J43" s="8" t="n"/>
      <c r="K43" s="7" t="inlineStr">
        <is>
          <t>Database tests off (SKIP_DB_TESTS=true) or not configured — see .env</t>
        </is>
      </c>
    </row>
    <row r="44">
      <c r="A44" s="7" t="inlineStr">
        <is>
          <t>LR-103</t>
        </is>
      </c>
      <c r="B44" s="7" t="inlineStr">
        <is>
          <t>4 aging KPI cards</t>
        </is>
      </c>
      <c r="C44" s="7" t="inlineStr">
        <is>
          <t>Lead Reports workbook</t>
        </is>
      </c>
      <c r="D44" s="7" t="inlineStr">
        <is>
          <t>Lead Reports</t>
        </is>
      </c>
      <c r="E44" s="8" t="inlineStr">
        <is>
          <t>REQ-LR-11</t>
        </is>
      </c>
      <c r="F44" s="8" t="inlineStr">
        <is>
          <t>High</t>
        </is>
      </c>
      <c r="G44" s="7" t="inlineStr">
        <is>
          <t>Yes</t>
        </is>
      </c>
      <c r="H44" s="7" t="inlineStr">
        <is>
          <t>tests/lead-reports/aging.spec.ts</t>
        </is>
      </c>
      <c r="I44" s="8" t="inlineStr">
        <is>
          <t>Pass</t>
        </is>
      </c>
      <c r="J44" s="8" t="n"/>
      <c r="K44" s="7" t="n"/>
    </row>
    <row r="45">
      <c r="A45" s="7" t="inlineStr">
        <is>
          <t>LR-104</t>
        </is>
      </c>
      <c r="B45" s="7" t="inlineStr">
        <is>
          <t>"Open Leads" count opens its leads</t>
        </is>
      </c>
      <c r="C45" s="7" t="inlineStr">
        <is>
          <t>Lead Reports workbook</t>
        </is>
      </c>
      <c r="D45" s="7" t="inlineStr">
        <is>
          <t>Lead Reports</t>
        </is>
      </c>
      <c r="E45" s="8" t="inlineStr">
        <is>
          <t>REQ-LR-11</t>
        </is>
      </c>
      <c r="F45" s="8" t="inlineStr">
        <is>
          <t>High</t>
        </is>
      </c>
      <c r="G45" s="7" t="inlineStr">
        <is>
          <t>Yes</t>
        </is>
      </c>
      <c r="H45" s="7" t="inlineStr">
        <is>
          <t>tests/lead-reports/aging.spec.ts</t>
        </is>
      </c>
      <c r="I45" s="8" t="inlineStr">
        <is>
          <t>Pass</t>
        </is>
      </c>
      <c r="J45" s="8" t="n"/>
      <c r="K45" s="7" t="n"/>
    </row>
    <row r="46">
      <c r="A46" s="7" t="inlineStr">
        <is>
          <t>LR-105</t>
        </is>
      </c>
      <c r="B46" s="7" t="inlineStr">
        <is>
          <t>"Idle Over 30 Days" count opens its leads</t>
        </is>
      </c>
      <c r="C46" s="7" t="inlineStr">
        <is>
          <t>Lead Reports workbook</t>
        </is>
      </c>
      <c r="D46" s="7" t="inlineStr">
        <is>
          <t>Lead Reports</t>
        </is>
      </c>
      <c r="E46" s="8" t="inlineStr">
        <is>
          <t>REQ-LR-11</t>
        </is>
      </c>
      <c r="F46" s="8" t="inlineStr">
        <is>
          <t>High</t>
        </is>
      </c>
      <c r="G46" s="7" t="inlineStr">
        <is>
          <t>Yes</t>
        </is>
      </c>
      <c r="H46" s="7" t="inlineStr">
        <is>
          <t>tests/lead-reports/aging.spec.ts</t>
        </is>
      </c>
      <c r="I46" s="8" t="inlineStr">
        <is>
          <t>Pass</t>
        </is>
      </c>
      <c r="J46" s="8" t="n"/>
      <c r="K46" s="7" t="n"/>
    </row>
    <row r="47">
      <c r="A47" s="7" t="inlineStr">
        <is>
          <t>LR-106</t>
        </is>
      </c>
      <c r="B47" s="7" t="inlineStr">
        <is>
          <t>"Never Contacted" count opens its leads</t>
        </is>
      </c>
      <c r="C47" s="7" t="inlineStr">
        <is>
          <t>Lead Reports workbook</t>
        </is>
      </c>
      <c r="D47" s="7" t="inlineStr">
        <is>
          <t>Lead Reports</t>
        </is>
      </c>
      <c r="E47" s="8" t="inlineStr">
        <is>
          <t>REQ-LR-11</t>
        </is>
      </c>
      <c r="F47" s="8" t="inlineStr">
        <is>
          <t>High</t>
        </is>
      </c>
      <c r="G47" s="7" t="inlineStr">
        <is>
          <t>Yes</t>
        </is>
      </c>
      <c r="H47" s="7" t="inlineStr">
        <is>
          <t>tests/lead-reports/aging.spec.ts</t>
        </is>
      </c>
      <c r="I47" s="8" t="inlineStr">
        <is>
          <t>Pass</t>
        </is>
      </c>
      <c r="J47" s="8" t="n"/>
      <c r="K47" s="7" t="n"/>
    </row>
    <row r="48">
      <c r="A48" s="7" t="inlineStr">
        <is>
          <t>LR-107</t>
        </is>
      </c>
      <c r="B48" s="7" t="inlineStr">
        <is>
          <t>Overdue Follow-ups</t>
        </is>
      </c>
      <c r="C48" s="7" t="inlineStr">
        <is>
          <t>Lead Reports workbook</t>
        </is>
      </c>
      <c r="D48" s="7" t="inlineStr">
        <is>
          <t>Lead Reports</t>
        </is>
      </c>
      <c r="E48" s="8" t="inlineStr">
        <is>
          <t>REQ-LR-11</t>
        </is>
      </c>
      <c r="F48" s="8" t="inlineStr">
        <is>
          <t>Low</t>
        </is>
      </c>
      <c r="G48" s="7" t="inlineStr">
        <is>
          <t>Yes</t>
        </is>
      </c>
      <c r="H48" s="7" t="inlineStr">
        <is>
          <t>tests/lead-reports/aging.spec.ts</t>
        </is>
      </c>
      <c r="I48" s="8" t="inlineStr">
        <is>
          <t>Pass</t>
        </is>
      </c>
      <c r="J48" s="8" t="n"/>
      <c r="K48" s="7" t="n"/>
    </row>
    <row r="49">
      <c r="A49" s="7" t="inlineStr">
        <is>
          <t>LR-108</t>
        </is>
      </c>
      <c r="B49" s="7" t="inlineStr">
        <is>
          <t>Aging ignores the period</t>
        </is>
      </c>
      <c r="C49" s="7" t="inlineStr">
        <is>
          <t>Lead Reports workbook</t>
        </is>
      </c>
      <c r="D49" s="7" t="inlineStr">
        <is>
          <t>Lead Reports</t>
        </is>
      </c>
      <c r="E49" s="8" t="inlineStr">
        <is>
          <t>REQ-LR-11</t>
        </is>
      </c>
      <c r="F49" s="8" t="inlineStr">
        <is>
          <t>Medium</t>
        </is>
      </c>
      <c r="G49" s="7" t="inlineStr">
        <is>
          <t>Yes</t>
        </is>
      </c>
      <c r="H49" s="7" t="inlineStr">
        <is>
          <t>tests/lead-reports/aging.spec.ts</t>
        </is>
      </c>
      <c r="I49" s="8" t="inlineStr">
        <is>
          <t>Pass</t>
        </is>
      </c>
      <c r="J49" s="8" t="n"/>
      <c r="K49" s="7" t="n"/>
    </row>
    <row r="50">
      <c r="A50" s="7" t="inlineStr">
        <is>
          <t>LR-109</t>
        </is>
      </c>
      <c r="B50" s="7" t="inlineStr">
        <is>
          <t>Idle Time buckets add up to Open Leads</t>
        </is>
      </c>
      <c r="C50" s="7" t="inlineStr">
        <is>
          <t>Lead Reports workbook</t>
        </is>
      </c>
      <c r="D50" s="7" t="inlineStr">
        <is>
          <t>Lead Reports</t>
        </is>
      </c>
      <c r="E50" s="8" t="inlineStr">
        <is>
          <t>REQ-LR-11</t>
        </is>
      </c>
      <c r="F50" s="8" t="inlineStr">
        <is>
          <t>High</t>
        </is>
      </c>
      <c r="G50" s="7" t="inlineStr">
        <is>
          <t>Yes</t>
        </is>
      </c>
      <c r="H50" s="7" t="inlineStr">
        <is>
          <t>tests/lead-reports/aging.spec.ts</t>
        </is>
      </c>
      <c r="I50" s="8" t="inlineStr">
        <is>
          <t>Pass</t>
        </is>
      </c>
      <c r="J50" s="8" t="n"/>
      <c r="K50" s="7" t="n"/>
    </row>
    <row r="51">
      <c r="A51" s="7" t="inlineStr">
        <is>
          <t>LR-110</t>
        </is>
      </c>
      <c r="B51" s="7" t="inlineStr">
        <is>
          <t>Lead Age buckets add up to Open Leads</t>
        </is>
      </c>
      <c r="C51" s="7" t="inlineStr">
        <is>
          <t>Lead Reports workbook</t>
        </is>
      </c>
      <c r="D51" s="7" t="inlineStr">
        <is>
          <t>Lead Reports</t>
        </is>
      </c>
      <c r="E51" s="8" t="inlineStr">
        <is>
          <t>REQ-LR-11</t>
        </is>
      </c>
      <c r="F51" s="8" t="inlineStr">
        <is>
          <t>High</t>
        </is>
      </c>
      <c r="G51" s="7" t="inlineStr">
        <is>
          <t>Yes</t>
        </is>
      </c>
      <c r="H51" s="7" t="inlineStr">
        <is>
          <t>tests/lead-reports/aging.spec.ts</t>
        </is>
      </c>
      <c r="I51" s="8" t="inlineStr">
        <is>
          <t>Pass</t>
        </is>
      </c>
      <c r="J51" s="8" t="n"/>
      <c r="K51" s="7" t="n"/>
    </row>
    <row r="52">
      <c r="A52" s="7" t="inlineStr">
        <is>
          <t>LR-111</t>
        </is>
      </c>
      <c r="B52" s="7" t="inlineStr">
        <is>
          <t>Salesperson table adds up</t>
        </is>
      </c>
      <c r="C52" s="7" t="inlineStr">
        <is>
          <t>Lead Reports workbook</t>
        </is>
      </c>
      <c r="D52" s="7" t="inlineStr">
        <is>
          <t>Lead Reports</t>
        </is>
      </c>
      <c r="E52" s="8" t="inlineStr">
        <is>
          <t>REQ-LR-11</t>
        </is>
      </c>
      <c r="F52" s="8" t="inlineStr">
        <is>
          <t>High</t>
        </is>
      </c>
      <c r="G52" s="7" t="inlineStr">
        <is>
          <t>Yes</t>
        </is>
      </c>
      <c r="H52" s="7" t="inlineStr">
        <is>
          <t>tests/lead-reports/aging.spec.ts</t>
        </is>
      </c>
      <c r="I52" s="8" t="inlineStr">
        <is>
          <t>Pass</t>
        </is>
      </c>
      <c r="J52" s="8" t="n"/>
      <c r="K52" s="7" t="n"/>
    </row>
    <row r="53">
      <c r="A53" s="7" t="inlineStr">
        <is>
          <t>LR-112</t>
        </is>
      </c>
      <c r="B53" s="7" t="inlineStr">
        <is>
          <t>Open and Never Contacted counts open their leads</t>
        </is>
      </c>
      <c r="C53" s="7" t="inlineStr">
        <is>
          <t>Lead Reports workbook</t>
        </is>
      </c>
      <c r="D53" s="7" t="inlineStr">
        <is>
          <t>Lead Reports</t>
        </is>
      </c>
      <c r="E53" s="8" t="inlineStr">
        <is>
          <t>REQ-LR-11</t>
        </is>
      </c>
      <c r="F53" s="8" t="inlineStr">
        <is>
          <t>Medium</t>
        </is>
      </c>
      <c r="G53" s="7" t="inlineStr">
        <is>
          <t>Yes</t>
        </is>
      </c>
      <c r="H53" s="7" t="inlineStr">
        <is>
          <t>tests/lead-reports/aging.spec.ts</t>
        </is>
      </c>
      <c r="I53" s="8" t="inlineStr">
        <is>
          <t>Pass</t>
        </is>
      </c>
      <c r="J53" s="8" t="n"/>
      <c r="K53" s="7" t="n"/>
    </row>
    <row r="54">
      <c r="A54" s="7" t="inlineStr">
        <is>
          <t>LR-113</t>
        </is>
      </c>
      <c r="B54" s="7" t="inlineStr">
        <is>
          <t>Aging export</t>
        </is>
      </c>
      <c r="C54" s="7" t="inlineStr">
        <is>
          <t>Lead Reports workbook</t>
        </is>
      </c>
      <c r="D54" s="7" t="inlineStr">
        <is>
          <t>Lead Reports</t>
        </is>
      </c>
      <c r="E54" s="8" t="inlineStr">
        <is>
          <t>REQ-LR-11</t>
        </is>
      </c>
      <c r="F54" s="8" t="inlineStr">
        <is>
          <t>Medium</t>
        </is>
      </c>
      <c r="G54" s="7" t="inlineStr">
        <is>
          <t>Yes</t>
        </is>
      </c>
      <c r="H54" s="7" t="inlineStr">
        <is>
          <t>tests/lead-reports/aging.spec.ts</t>
        </is>
      </c>
      <c r="I54" s="8" t="inlineStr">
        <is>
          <t>Pass</t>
        </is>
      </c>
      <c r="J54" s="8" t="n"/>
      <c r="K54" s="7" t="n"/>
    </row>
    <row r="55">
      <c r="A55" s="7" t="inlineStr">
        <is>
          <t>LR-114</t>
        </is>
      </c>
      <c r="B55" s="7" t="inlineStr">
        <is>
          <t>Status table adds up</t>
        </is>
      </c>
      <c r="C55" s="7" t="inlineStr">
        <is>
          <t>Lead Reports workbook</t>
        </is>
      </c>
      <c r="D55" s="7" t="inlineStr">
        <is>
          <t>Lead Reports</t>
        </is>
      </c>
      <c r="E55" s="8" t="inlineStr">
        <is>
          <t>REQ-LR-11</t>
        </is>
      </c>
      <c r="F55" s="8" t="inlineStr">
        <is>
          <t>Medium</t>
        </is>
      </c>
      <c r="G55" s="7" t="inlineStr">
        <is>
          <t>Yes</t>
        </is>
      </c>
      <c r="H55" s="7" t="inlineStr">
        <is>
          <t>tests/lead-reports/aging.spec.ts</t>
        </is>
      </c>
      <c r="I55" s="8" t="inlineStr">
        <is>
          <t>Pass</t>
        </is>
      </c>
      <c r="J55" s="8" t="n"/>
      <c r="K55" s="7" t="n"/>
    </row>
    <row r="56">
      <c r="A56" s="7" t="inlineStr">
        <is>
          <t>LR-115</t>
        </is>
      </c>
      <c r="B56" s="7" t="inlineStr">
        <is>
          <t>Longest Idle Leads list</t>
        </is>
      </c>
      <c r="C56" s="7" t="inlineStr">
        <is>
          <t>Lead Reports workbook</t>
        </is>
      </c>
      <c r="D56" s="7" t="inlineStr">
        <is>
          <t>Lead Reports</t>
        </is>
      </c>
      <c r="E56" s="8" t="inlineStr">
        <is>
          <t>REQ-LR-11</t>
        </is>
      </c>
      <c r="F56" s="8" t="inlineStr">
        <is>
          <t>Medium</t>
        </is>
      </c>
      <c r="G56" s="7" t="inlineStr">
        <is>
          <t>Yes</t>
        </is>
      </c>
      <c r="H56" s="7" t="inlineStr">
        <is>
          <t>tests/lead-reports/aging.spec.ts</t>
        </is>
      </c>
      <c r="I56" s="8" t="inlineStr">
        <is>
          <t>Pass</t>
        </is>
      </c>
      <c r="J56" s="8" t="n"/>
      <c r="K56" s="7" t="n"/>
    </row>
    <row r="57">
      <c r="A57" s="7" t="inlineStr">
        <is>
          <t>LR-116</t>
        </is>
      </c>
      <c r="B57" s="7" t="inlineStr">
        <is>
          <t>Lead link opens the lead</t>
        </is>
      </c>
      <c r="C57" s="7" t="inlineStr">
        <is>
          <t>Lead Reports workbook</t>
        </is>
      </c>
      <c r="D57" s="7" t="inlineStr">
        <is>
          <t>Lead Reports</t>
        </is>
      </c>
      <c r="E57" s="8" t="inlineStr">
        <is>
          <t>REQ-LR-11</t>
        </is>
      </c>
      <c r="F57" s="8" t="inlineStr">
        <is>
          <t>Medium</t>
        </is>
      </c>
      <c r="G57" s="7" t="inlineStr">
        <is>
          <t>Yes</t>
        </is>
      </c>
      <c r="H57" s="7" t="inlineStr">
        <is>
          <t>tests/lead-reports/aging.spec.ts</t>
        </is>
      </c>
      <c r="I57" s="8" t="inlineStr">
        <is>
          <t>Pass</t>
        </is>
      </c>
      <c r="J57" s="8" t="n"/>
      <c r="K57" s="7" t="n"/>
    </row>
    <row r="58">
      <c r="A58" s="7" t="inlineStr">
        <is>
          <t>LR-MAP-00</t>
        </is>
      </c>
      <c r="B58" s="7" t="inlineStr">
        <is>
          <t>Every Clickable Map row has a check</t>
        </is>
      </c>
      <c r="C58" s="7" t="inlineStr">
        <is>
          <t>Lead Reports workbook (Clickable Map)</t>
        </is>
      </c>
      <c r="D58" s="7" t="inlineStr">
        <is>
          <t>Lead Reports</t>
        </is>
      </c>
      <c r="E58" s="8" t="inlineStr">
        <is>
          <t>REQ-LR-15</t>
        </is>
      </c>
      <c r="F58" s="8" t="n"/>
      <c r="G58" s="7" t="inlineStr">
        <is>
          <t>Yes</t>
        </is>
      </c>
      <c r="H58" s="7" t="inlineStr">
        <is>
          <t>tests/lead-reports/clickable-map.spec.ts</t>
        </is>
      </c>
      <c r="I58" s="8" t="inlineStr">
        <is>
          <t>Pass</t>
        </is>
      </c>
      <c r="J58" s="8" t="n"/>
      <c r="K58" s="7" t="n"/>
    </row>
    <row r="59">
      <c r="A59" s="7" t="inlineStr">
        <is>
          <t>LR-MAP-01</t>
        </is>
      </c>
      <c r="B59" s="7" t="inlineStr">
        <is>
          <t>All › REPORTS &amp; ANALYTICS breadcrumb — clickable: Yes</t>
        </is>
      </c>
      <c r="C59" s="7" t="inlineStr">
        <is>
          <t>Lead Reports workbook (Clickable Map)</t>
        </is>
      </c>
      <c r="D59" s="7" t="inlineStr">
        <is>
          <t>Lead Reports</t>
        </is>
      </c>
      <c r="E59" s="8" t="inlineStr">
        <is>
          <t>REQ-LR-15</t>
        </is>
      </c>
      <c r="F59" s="8" t="n"/>
      <c r="G59" s="7" t="inlineStr">
        <is>
          <t>Yes</t>
        </is>
      </c>
      <c r="H59" s="7" t="inlineStr">
        <is>
          <t>tests/lead-reports/clickable-map.spec.ts</t>
        </is>
      </c>
      <c r="I59" s="8" t="inlineStr">
        <is>
          <t>Pass</t>
        </is>
      </c>
      <c r="J59" s="8" t="n"/>
      <c r="K59" s="7" t="n"/>
    </row>
    <row r="60">
      <c r="A60" s="7" t="inlineStr">
        <is>
          <t>LR-MAP-02</t>
        </is>
      </c>
      <c r="B60" s="7" t="inlineStr">
        <is>
          <t>All › 9 filter dropdowns (Period, Project, Lead Source, Capture Channel, Campaign, Broker, Salesperson, Prospect Type, Nationality) — clickable: Yes</t>
        </is>
      </c>
      <c r="C60" s="7" t="inlineStr">
        <is>
          <t>Lead Reports workbook (Clickable Map)</t>
        </is>
      </c>
      <c r="D60" s="7" t="inlineStr">
        <is>
          <t>Lead Reports</t>
        </is>
      </c>
      <c r="E60" s="8" t="inlineStr">
        <is>
          <t>REQ-LR-15</t>
        </is>
      </c>
      <c r="F60" s="8" t="n"/>
      <c r="G60" s="7" t="inlineStr">
        <is>
          <t>Yes</t>
        </is>
      </c>
      <c r="H60" s="7" t="inlineStr">
        <is>
          <t>tests/lead-reports/clickable-map.spec.ts</t>
        </is>
      </c>
      <c r="I60" s="8" t="inlineStr">
        <is>
          <t>Pass</t>
        </is>
      </c>
      <c r="J60" s="8" t="n"/>
      <c r="K60" s="7" t="n"/>
    </row>
    <row r="61">
      <c r="A61" s="7" t="inlineStr">
        <is>
          <t>LR-MAP-03</t>
        </is>
      </c>
      <c r="B61" s="7" t="inlineStr">
        <is>
          <t>All › Custom dates From / To — clickable: Yes</t>
        </is>
      </c>
      <c r="C61" s="7" t="inlineStr">
        <is>
          <t>Lead Reports workbook (Clickable Map)</t>
        </is>
      </c>
      <c r="D61" s="7" t="inlineStr">
        <is>
          <t>Lead Reports</t>
        </is>
      </c>
      <c r="E61" s="8" t="inlineStr">
        <is>
          <t>REQ-LR-15</t>
        </is>
      </c>
      <c r="F61" s="8" t="n"/>
      <c r="G61" s="7" t="inlineStr">
        <is>
          <t>Yes</t>
        </is>
      </c>
      <c r="H61" s="7" t="inlineStr">
        <is>
          <t>tests/lead-reports/clickable-map.spec.ts</t>
        </is>
      </c>
      <c r="I61" s="8" t="inlineStr">
        <is>
          <t>Pass</t>
        </is>
      </c>
      <c r="J61" s="8" t="n"/>
      <c r="K61" s="7" t="n"/>
    </row>
    <row r="62">
      <c r="A62" s="7" t="inlineStr">
        <is>
          <t>LR-MAP-04</t>
        </is>
      </c>
      <c r="B62" s="7" t="inlineStr">
        <is>
          <t>All › View: All / You and your team / Mine — clickable: Yes</t>
        </is>
      </c>
      <c r="C62" s="7" t="inlineStr">
        <is>
          <t>Lead Reports workbook (Clickable Map)</t>
        </is>
      </c>
      <c r="D62" s="7" t="inlineStr">
        <is>
          <t>Lead Reports</t>
        </is>
      </c>
      <c r="E62" s="8" t="inlineStr">
        <is>
          <t>REQ-LR-15</t>
        </is>
      </c>
      <c r="F62" s="8" t="n"/>
      <c r="G62" s="7" t="inlineStr">
        <is>
          <t>Yes</t>
        </is>
      </c>
      <c r="H62" s="7" t="inlineStr">
        <is>
          <t>tests/lead-reports/clickable-map.spec.ts</t>
        </is>
      </c>
      <c r="I62" s="8" t="inlineStr">
        <is>
          <t>Pass</t>
        </is>
      </c>
      <c r="J62" s="8" t="n"/>
      <c r="K62" s="7" t="n"/>
    </row>
    <row r="63">
      <c r="A63" s="7" t="inlineStr">
        <is>
          <t>LR-MAP-05</t>
        </is>
      </c>
      <c r="B63" s="7" t="inlineStr">
        <is>
          <t>All › Reset filters — clickable: Yes (disabled until a change)</t>
        </is>
      </c>
      <c r="C63" s="7" t="inlineStr">
        <is>
          <t>Lead Reports workbook (Clickable Map)</t>
        </is>
      </c>
      <c r="D63" s="7" t="inlineStr">
        <is>
          <t>Lead Reports</t>
        </is>
      </c>
      <c r="E63" s="8" t="inlineStr">
        <is>
          <t>REQ-LR-15</t>
        </is>
      </c>
      <c r="F63" s="8" t="n"/>
      <c r="G63" s="7" t="inlineStr">
        <is>
          <t>Yes</t>
        </is>
      </c>
      <c r="H63" s="7" t="inlineStr">
        <is>
          <t>tests/lead-reports/clickable-map.spec.ts</t>
        </is>
      </c>
      <c r="I63" s="8" t="inlineStr">
        <is>
          <t>Pass</t>
        </is>
      </c>
      <c r="J63" s="8" t="n"/>
      <c r="K63" s="7" t="n"/>
    </row>
    <row r="64">
      <c r="A64" s="7" t="inlineStr">
        <is>
          <t>LR-MAP-06</t>
        </is>
      </c>
      <c r="B64" s="7" t="inlineStr">
        <is>
          <t>All › How these numbers are calculated — clickable: Yes</t>
        </is>
      </c>
      <c r="C64" s="7" t="inlineStr">
        <is>
          <t>Lead Reports workbook (Clickable Map)</t>
        </is>
      </c>
      <c r="D64" s="7" t="inlineStr">
        <is>
          <t>Lead Reports</t>
        </is>
      </c>
      <c r="E64" s="8" t="inlineStr">
        <is>
          <t>REQ-LR-15</t>
        </is>
      </c>
      <c r="F64" s="8" t="n"/>
      <c r="G64" s="7" t="inlineStr">
        <is>
          <t>Yes</t>
        </is>
      </c>
      <c r="H64" s="7" t="inlineStr">
        <is>
          <t>tests/lead-reports/clickable-map.spec.ts</t>
        </is>
      </c>
      <c r="I64" s="8" t="inlineStr">
        <is>
          <t>Pass</t>
        </is>
      </c>
      <c r="J64" s="8" t="n"/>
      <c r="K64" s="7" t="n"/>
    </row>
    <row r="65">
      <c r="A65" s="7" t="inlineStr">
        <is>
          <t>LR-MAP-07</t>
        </is>
      </c>
      <c r="B65" s="7" t="inlineStr">
        <is>
          <t>All › 5 tabs — clickable: Yes</t>
        </is>
      </c>
      <c r="C65" s="7" t="inlineStr">
        <is>
          <t>Lead Reports workbook (Clickable Map)</t>
        </is>
      </c>
      <c r="D65" s="7" t="inlineStr">
        <is>
          <t>Lead Reports</t>
        </is>
      </c>
      <c r="E65" s="8" t="inlineStr">
        <is>
          <t>REQ-LR-15</t>
        </is>
      </c>
      <c r="F65" s="8" t="n"/>
      <c r="G65" s="7" t="inlineStr">
        <is>
          <t>Yes</t>
        </is>
      </c>
      <c r="H65" s="7" t="inlineStr">
        <is>
          <t>tests/lead-reports/clickable-map.spec.ts</t>
        </is>
      </c>
      <c r="I65" s="8" t="inlineStr">
        <is>
          <t>Pass</t>
        </is>
      </c>
      <c r="J65" s="8" t="n"/>
      <c r="K65" s="7" t="n"/>
    </row>
    <row r="66">
      <c r="A66" s="7" t="inlineStr">
        <is>
          <t>LR-MAP-08</t>
        </is>
      </c>
      <c r="B66" s="7" t="inlineStr">
        <is>
          <t>Overview &amp; Funnel › Leads Captured value — clickable: Yes</t>
        </is>
      </c>
      <c r="C66" s="7" t="inlineStr">
        <is>
          <t>Lead Reports workbook (Clickable Map)</t>
        </is>
      </c>
      <c r="D66" s="7" t="inlineStr">
        <is>
          <t>Lead Reports</t>
        </is>
      </c>
      <c r="E66" s="8" t="inlineStr">
        <is>
          <t>REQ-LR-15</t>
        </is>
      </c>
      <c r="F66" s="8" t="n"/>
      <c r="G66" s="7" t="inlineStr">
        <is>
          <t>Yes</t>
        </is>
      </c>
      <c r="H66" s="7" t="inlineStr">
        <is>
          <t>tests/lead-reports/clickable-map.spec.ts</t>
        </is>
      </c>
      <c r="I66" s="8" t="inlineStr">
        <is>
          <t>Pass</t>
        </is>
      </c>
      <c r="J66" s="8" t="n"/>
      <c r="K66" s="7" t="n"/>
    </row>
    <row r="67">
      <c r="A67" s="7" t="inlineStr">
        <is>
          <t>LR-MAP-09</t>
        </is>
      </c>
      <c r="B67" s="7" t="inlineStr">
        <is>
          <t>Overview &amp; Funnel › SPA Signed value — clickable: Yes</t>
        </is>
      </c>
      <c r="C67" s="7" t="inlineStr">
        <is>
          <t>Lead Reports workbook (Clickable Map)</t>
        </is>
      </c>
      <c r="D67" s="7" t="inlineStr">
        <is>
          <t>Lead Reports</t>
        </is>
      </c>
      <c r="E67" s="8" t="inlineStr">
        <is>
          <t>REQ-LR-15</t>
        </is>
      </c>
      <c r="F67" s="8" t="n"/>
      <c r="G67" s="7" t="inlineStr">
        <is>
          <t>Yes</t>
        </is>
      </c>
      <c r="H67" s="7" t="inlineStr">
        <is>
          <t>tests/lead-reports/clickable-map.spec.ts</t>
        </is>
      </c>
      <c r="I67" s="8" t="inlineStr">
        <is>
          <t>Pass</t>
        </is>
      </c>
      <c r="J67" s="8" t="n"/>
      <c r="K67" s="7" t="n"/>
    </row>
    <row r="68">
      <c r="A68" s="7" t="inlineStr">
        <is>
          <t>LR-MAP-10</t>
        </is>
      </c>
      <c r="B68" s="7" t="inlineStr">
        <is>
          <t>Overview &amp; Funnel › Open Leads Now value / idle / never contacted — clickable: Yes (3 links)</t>
        </is>
      </c>
      <c r="C68" s="7" t="inlineStr">
        <is>
          <t>Lead Reports workbook (Clickable Map)</t>
        </is>
      </c>
      <c r="D68" s="7" t="inlineStr">
        <is>
          <t>Lead Reports</t>
        </is>
      </c>
      <c r="E68" s="8" t="inlineStr">
        <is>
          <t>REQ-LR-15</t>
        </is>
      </c>
      <c r="F68" s="8" t="n"/>
      <c r="G68" s="7" t="inlineStr">
        <is>
          <t>Yes</t>
        </is>
      </c>
      <c r="H68" s="7" t="inlineStr">
        <is>
          <t>tests/lead-reports/clickable-map.spec.ts</t>
        </is>
      </c>
      <c r="I68" s="8" t="inlineStr">
        <is>
          <t>Pass</t>
        </is>
      </c>
      <c r="J68" s="8" t="n"/>
      <c r="K68" s="7" t="n"/>
    </row>
    <row r="69">
      <c r="A69" s="7" t="inlineStr">
        <is>
          <t>LR-MAP-11</t>
        </is>
      </c>
      <c r="B69" s="7" t="inlineStr">
        <is>
          <t>Overview &amp; Funnel › Contact Rate, Qualification Rate, Opportunity Conversion, Won Value, Avg Time to First Contact — clickable: No</t>
        </is>
      </c>
      <c r="C69" s="7" t="inlineStr">
        <is>
          <t>Lead Reports workbook (Clickable Map)</t>
        </is>
      </c>
      <c r="D69" s="7" t="inlineStr">
        <is>
          <t>Lead Reports</t>
        </is>
      </c>
      <c r="E69" s="8" t="inlineStr">
        <is>
          <t>REQ-LR-15</t>
        </is>
      </c>
      <c r="F69" s="8" t="n"/>
      <c r="G69" s="7" t="inlineStr">
        <is>
          <t>Yes</t>
        </is>
      </c>
      <c r="H69" s="7" t="inlineStr">
        <is>
          <t>tests/lead-reports/clickable-map.spec.ts</t>
        </is>
      </c>
      <c r="I69" s="8" t="inlineStr">
        <is>
          <t>Pass</t>
        </is>
      </c>
      <c r="J69" s="8" t="n"/>
      <c r="K69" s="7" t="n"/>
    </row>
    <row r="70">
      <c r="A70" s="7" t="inlineStr">
        <is>
          <t>LR-MAP-12</t>
        </is>
      </c>
      <c r="B70" s="7" t="inlineStr">
        <is>
          <t>Overview &amp; Funnel › 6 step counts — clickable: Yes</t>
        </is>
      </c>
      <c r="C70" s="7" t="inlineStr">
        <is>
          <t>Lead Reports workbook (Clickable Map)</t>
        </is>
      </c>
      <c r="D70" s="7" t="inlineStr">
        <is>
          <t>Lead Reports</t>
        </is>
      </c>
      <c r="E70" s="8" t="inlineStr">
        <is>
          <t>REQ-LR-15</t>
        </is>
      </c>
      <c r="F70" s="8" t="n"/>
      <c r="G70" s="7" t="inlineStr">
        <is>
          <t>Yes</t>
        </is>
      </c>
      <c r="H70" s="7" t="inlineStr">
        <is>
          <t>tests/lead-reports/clickable-map.spec.ts</t>
        </is>
      </c>
      <c r="I70" s="8" t="inlineStr">
        <is>
          <t>Pass</t>
        </is>
      </c>
      <c r="J70" s="8" t="n"/>
      <c r="K70" s="7" t="n"/>
    </row>
    <row r="71">
      <c r="A71" s="7" t="inlineStr">
        <is>
          <t>LR-MAP-13</t>
        </is>
      </c>
      <c r="B71" s="7" t="inlineStr">
        <is>
          <t>Overview &amp; Funnel › Rows and bars — clickable: No</t>
        </is>
      </c>
      <c r="C71" s="7" t="inlineStr">
        <is>
          <t>Lead Reports workbook (Clickable Map)</t>
        </is>
      </c>
      <c r="D71" s="7" t="inlineStr">
        <is>
          <t>Lead Reports</t>
        </is>
      </c>
      <c r="E71" s="8" t="inlineStr">
        <is>
          <t>REQ-LR-15</t>
        </is>
      </c>
      <c r="F71" s="8" t="n"/>
      <c r="G71" s="7" t="inlineStr">
        <is>
          <t>Yes</t>
        </is>
      </c>
      <c r="H71" s="7" t="inlineStr">
        <is>
          <t>tests/lead-reports/clickable-map.spec.ts</t>
        </is>
      </c>
      <c r="I71" s="8" t="inlineStr">
        <is>
          <t>Pass</t>
        </is>
      </c>
      <c r="J71" s="8" t="n"/>
      <c r="K71" s="7" t="n"/>
    </row>
    <row r="72">
      <c r="A72" s="7" t="inlineStr">
        <is>
          <t>LR-MAP-14</t>
        </is>
      </c>
      <c r="B72" s="7" t="inlineStr">
        <is>
          <t>Source &amp; Channel › Lead Source, Capture Channel, Campaign, Broker, Salesperson, Project, Nationality, Prospect Type — clickable: Yes</t>
        </is>
      </c>
      <c r="C72" s="7" t="inlineStr">
        <is>
          <t>Lead Reports workbook (Clickable Map)</t>
        </is>
      </c>
      <c r="D72" s="7" t="inlineStr">
        <is>
          <t>Lead Reports</t>
        </is>
      </c>
      <c r="E72" s="8" t="inlineStr">
        <is>
          <t>REQ-LR-15</t>
        </is>
      </c>
      <c r="F72" s="8" t="n"/>
      <c r="G72" s="7" t="inlineStr">
        <is>
          <t>Yes</t>
        </is>
      </c>
      <c r="H72" s="7" t="inlineStr">
        <is>
          <t>tests/lead-reports/clickable-map.spec.ts</t>
        </is>
      </c>
      <c r="I72" s="8" t="inlineStr">
        <is>
          <t>Pass</t>
        </is>
      </c>
      <c r="J72" s="8" t="n"/>
      <c r="K72" s="7" t="n"/>
    </row>
    <row r="73">
      <c r="A73" s="7" t="inlineStr">
        <is>
          <t>LR-MAP-15</t>
        </is>
      </c>
      <c r="B73" s="7" t="inlineStr">
        <is>
          <t>Source &amp; Channel › Leads, Contacted, Qualified, Opportunity, Reserved, SPA Signed, Lost counts (when above 0) — clickable: Yes</t>
        </is>
      </c>
      <c r="C73" s="7" t="inlineStr">
        <is>
          <t>Lead Reports workbook (Clickable Map)</t>
        </is>
      </c>
      <c r="D73" s="7" t="inlineStr">
        <is>
          <t>Lead Reports</t>
        </is>
      </c>
      <c r="E73" s="8" t="inlineStr">
        <is>
          <t>REQ-LR-15</t>
        </is>
      </c>
      <c r="F73" s="8" t="n"/>
      <c r="G73" s="7" t="inlineStr">
        <is>
          <t>Yes</t>
        </is>
      </c>
      <c r="H73" s="7" t="inlineStr">
        <is>
          <t>tests/lead-reports/clickable-map.spec.ts</t>
        </is>
      </c>
      <c r="I73" s="8" t="inlineStr">
        <is>
          <t>Pass</t>
        </is>
      </c>
      <c r="J73" s="8" t="n"/>
      <c r="K73" s="7" t="n"/>
    </row>
    <row r="74">
      <c r="A74" s="7" t="inlineStr">
        <is>
          <t>LR-MAP-16</t>
        </is>
      </c>
      <c r="B74" s="7" t="inlineStr">
        <is>
          <t>Source &amp; Channel › Zero counts, %, Avg First Contact, Won Value, Cost / Lead; column headers — clickable: No</t>
        </is>
      </c>
      <c r="C74" s="7" t="inlineStr">
        <is>
          <t>Lead Reports workbook (Clickable Map)</t>
        </is>
      </c>
      <c r="D74" s="7" t="inlineStr">
        <is>
          <t>Lead Reports</t>
        </is>
      </c>
      <c r="E74" s="8" t="inlineStr">
        <is>
          <t>REQ-LR-15</t>
        </is>
      </c>
      <c r="F74" s="8" t="n"/>
      <c r="G74" s="7" t="inlineStr">
        <is>
          <t>Yes</t>
        </is>
      </c>
      <c r="H74" s="7" t="inlineStr">
        <is>
          <t>tests/lead-reports/clickable-map.spec.ts</t>
        </is>
      </c>
      <c r="I74" s="8" t="inlineStr">
        <is>
          <t>Pass</t>
        </is>
      </c>
      <c r="J74" s="8" t="n"/>
      <c r="K74" s="7" t="n"/>
    </row>
    <row r="75">
      <c r="A75" s="7" t="inlineStr">
        <is>
          <t>LR-MAP-17</t>
        </is>
      </c>
      <c r="B75" s="7" t="inlineStr">
        <is>
          <t>Source &amp; Channel › Export — clickable: Yes</t>
        </is>
      </c>
      <c r="C75" s="7" t="inlineStr">
        <is>
          <t>Lead Reports workbook (Clickable Map)</t>
        </is>
      </c>
      <c r="D75" s="7" t="inlineStr">
        <is>
          <t>Lead Reports</t>
        </is>
      </c>
      <c r="E75" s="8" t="inlineStr">
        <is>
          <t>REQ-LR-15</t>
        </is>
      </c>
      <c r="F75" s="8" t="n"/>
      <c r="G75" s="7" t="inlineStr">
        <is>
          <t>Yes</t>
        </is>
      </c>
      <c r="H75" s="7" t="inlineStr">
        <is>
          <t>tests/lead-reports/clickable-map.spec.ts</t>
        </is>
      </c>
      <c r="I75" s="8" t="inlineStr">
        <is>
          <t>Pass</t>
        </is>
      </c>
      <c r="J75" s="8" t="n"/>
      <c r="K75" s="7" t="n"/>
    </row>
    <row r="76">
      <c r="A76" s="7" t="inlineStr">
        <is>
          <t>LR-MAP-18</t>
        </is>
      </c>
      <c r="B76" s="7" t="inlineStr">
        <is>
          <t>Aging &amp; Follow-up › Open Leads, Idle Over 30 Days, Never Contacted — clickable: Yes</t>
        </is>
      </c>
      <c r="C76" s="7" t="inlineStr">
        <is>
          <t>Lead Reports workbook (Clickable Map)</t>
        </is>
      </c>
      <c r="D76" s="7" t="inlineStr">
        <is>
          <t>Lead Reports</t>
        </is>
      </c>
      <c r="E76" s="8" t="inlineStr">
        <is>
          <t>REQ-LR-15</t>
        </is>
      </c>
      <c r="F76" s="8" t="n"/>
      <c r="G76" s="7" t="inlineStr">
        <is>
          <t>Yes</t>
        </is>
      </c>
      <c r="H76" s="7" t="inlineStr">
        <is>
          <t>tests/lead-reports/clickable-map.spec.ts</t>
        </is>
      </c>
      <c r="I76" s="8" t="inlineStr">
        <is>
          <t>Pass</t>
        </is>
      </c>
      <c r="J76" s="8" t="n"/>
      <c r="K76" s="7" t="n"/>
    </row>
    <row r="77">
      <c r="A77" s="7" t="inlineStr">
        <is>
          <t>LR-MAP-19</t>
        </is>
      </c>
      <c r="B77" s="7" t="inlineStr">
        <is>
          <t>Aging &amp; Follow-up › Overdue Follow-ups (0) — clickable: No</t>
        </is>
      </c>
      <c r="C77" s="7" t="inlineStr">
        <is>
          <t>Lead Reports workbook (Clickable Map)</t>
        </is>
      </c>
      <c r="D77" s="7" t="inlineStr">
        <is>
          <t>Lead Reports</t>
        </is>
      </c>
      <c r="E77" s="8" t="inlineStr">
        <is>
          <t>REQ-LR-15</t>
        </is>
      </c>
      <c r="F77" s="8" t="n"/>
      <c r="G77" s="7" t="inlineStr">
        <is>
          <t>Yes</t>
        </is>
      </c>
      <c r="H77" s="7" t="inlineStr">
        <is>
          <t>tests/lead-reports/clickable-map.spec.ts</t>
        </is>
      </c>
      <c r="I77" s="8" t="inlineStr">
        <is>
          <t>Pass</t>
        </is>
      </c>
      <c r="J77" s="8" t="n"/>
      <c r="K77" s="7" t="n"/>
    </row>
    <row r="78">
      <c r="A78" s="7" t="inlineStr">
        <is>
          <t>LR-MAP-20</t>
        </is>
      </c>
      <c r="B78" s="7" t="inlineStr">
        <is>
          <t>Aging &amp; Follow-up › Bucket rows — clickable: No</t>
        </is>
      </c>
      <c r="C78" s="7" t="inlineStr">
        <is>
          <t>Lead Reports workbook (Clickable Map)</t>
        </is>
      </c>
      <c r="D78" s="7" t="inlineStr">
        <is>
          <t>Lead Reports</t>
        </is>
      </c>
      <c r="E78" s="8" t="inlineStr">
        <is>
          <t>REQ-LR-15</t>
        </is>
      </c>
      <c r="F78" s="8" t="n"/>
      <c r="G78" s="7" t="inlineStr">
        <is>
          <t>Yes</t>
        </is>
      </c>
      <c r="H78" s="7" t="inlineStr">
        <is>
          <t>tests/lead-reports/clickable-map.spec.ts</t>
        </is>
      </c>
      <c r="I78" s="8" t="inlineStr">
        <is>
          <t>Pass</t>
        </is>
      </c>
      <c r="J78" s="8" t="n"/>
      <c r="K78" s="7" t="n"/>
    </row>
    <row r="79">
      <c r="A79" s="7" t="inlineStr">
        <is>
          <t>LR-MAP-21</t>
        </is>
      </c>
      <c r="B79" s="7" t="inlineStr">
        <is>
          <t>Aging &amp; Follow-up › Open, Never Contacted counts — clickable: Yes</t>
        </is>
      </c>
      <c r="C79" s="7" t="inlineStr">
        <is>
          <t>Lead Reports workbook (Clickable Map)</t>
        </is>
      </c>
      <c r="D79" s="7" t="inlineStr">
        <is>
          <t>Lead Reports</t>
        </is>
      </c>
      <c r="E79" s="8" t="inlineStr">
        <is>
          <t>REQ-LR-15</t>
        </is>
      </c>
      <c r="F79" s="8" t="n"/>
      <c r="G79" s="7" t="inlineStr">
        <is>
          <t>Yes</t>
        </is>
      </c>
      <c r="H79" s="7" t="inlineStr">
        <is>
          <t>tests/lead-reports/clickable-map.spec.ts</t>
        </is>
      </c>
      <c r="I79" s="8" t="inlineStr">
        <is>
          <t>Pass</t>
        </is>
      </c>
      <c r="J79" s="8" t="n"/>
      <c r="K79" s="7" t="n"/>
    </row>
    <row r="80">
      <c r="A80" s="7" t="inlineStr">
        <is>
          <t>LR-MAP-22</t>
        </is>
      </c>
      <c r="B80" s="7" t="inlineStr">
        <is>
          <t>Aging &amp; Follow-up › Overdue and idle bucket counts — clickable: No</t>
        </is>
      </c>
      <c r="C80" s="7" t="inlineStr">
        <is>
          <t>Lead Reports workbook (Clickable Map)</t>
        </is>
      </c>
      <c r="D80" s="7" t="inlineStr">
        <is>
          <t>Lead Reports</t>
        </is>
      </c>
      <c r="E80" s="8" t="inlineStr">
        <is>
          <t>REQ-LR-15</t>
        </is>
      </c>
      <c r="F80" s="8" t="n"/>
      <c r="G80" s="7" t="inlineStr">
        <is>
          <t>Yes</t>
        </is>
      </c>
      <c r="H80" s="7" t="inlineStr">
        <is>
          <t>tests/lead-reports/clickable-map.spec.ts</t>
        </is>
      </c>
      <c r="I80" s="8" t="inlineStr">
        <is>
          <t>Pass</t>
        </is>
      </c>
      <c r="J80" s="8" t="n"/>
      <c r="K80" s="7" t="n"/>
    </row>
    <row r="81">
      <c r="A81" s="7" t="inlineStr">
        <is>
          <t>LR-MAP-23</t>
        </is>
      </c>
      <c r="B81" s="7" t="inlineStr">
        <is>
          <t>Aging &amp; Follow-up › Export — clickable: Yes</t>
        </is>
      </c>
      <c r="C81" s="7" t="inlineStr">
        <is>
          <t>Lead Reports workbook (Clickable Map)</t>
        </is>
      </c>
      <c r="D81" s="7" t="inlineStr">
        <is>
          <t>Lead Reports</t>
        </is>
      </c>
      <c r="E81" s="8" t="inlineStr">
        <is>
          <t>REQ-LR-15</t>
        </is>
      </c>
      <c r="F81" s="8" t="n"/>
      <c r="G81" s="7" t="inlineStr">
        <is>
          <t>Yes</t>
        </is>
      </c>
      <c r="H81" s="7" t="inlineStr">
        <is>
          <t>tests/lead-reports/clickable-map.spec.ts</t>
        </is>
      </c>
      <c r="I81" s="8" t="inlineStr">
        <is>
          <t>Pass</t>
        </is>
      </c>
      <c r="J81" s="8" t="n"/>
      <c r="K81" s="7" t="n"/>
    </row>
    <row r="82">
      <c r="A82" s="7" t="inlineStr">
        <is>
          <t>LR-MAP-24</t>
        </is>
      </c>
      <c r="B82" s="7" t="inlineStr">
        <is>
          <t>Aging &amp; Follow-up › Lead number links (25) — clickable: Yes</t>
        </is>
      </c>
      <c r="C82" s="7" t="inlineStr">
        <is>
          <t>Lead Reports workbook (Clickable Map)</t>
        </is>
      </c>
      <c r="D82" s="7" t="inlineStr">
        <is>
          <t>Lead Reports</t>
        </is>
      </c>
      <c r="E82" s="8" t="inlineStr">
        <is>
          <t>REQ-LR-15</t>
        </is>
      </c>
      <c r="F82" s="8" t="n"/>
      <c r="G82" s="7" t="inlineStr">
        <is>
          <t>Yes</t>
        </is>
      </c>
      <c r="H82" s="7" t="inlineStr">
        <is>
          <t>tests/lead-reports/clickable-map.spec.ts</t>
        </is>
      </c>
      <c r="I82" s="8" t="inlineStr">
        <is>
          <t>Pass</t>
        </is>
      </c>
      <c r="J82" s="8" t="n"/>
      <c r="K82" s="7" t="n"/>
    </row>
    <row r="83">
      <c r="A83" s="7" t="inlineStr">
        <is>
          <t>LR-MAP-25</t>
        </is>
      </c>
      <c r="B83" s="7" t="inlineStr">
        <is>
          <t>Qualification &amp; Conversion › Counts — clickable: No</t>
        </is>
      </c>
      <c r="C83" s="7" t="inlineStr">
        <is>
          <t>Lead Reports workbook (Clickable Map)</t>
        </is>
      </c>
      <c r="D83" s="7" t="inlineStr">
        <is>
          <t>Lead Reports</t>
        </is>
      </c>
      <c r="E83" s="8" t="inlineStr">
        <is>
          <t>REQ-LR-15</t>
        </is>
      </c>
      <c r="F83" s="8" t="n"/>
      <c r="G83" s="7" t="inlineStr">
        <is>
          <t>Yes</t>
        </is>
      </c>
      <c r="H83" s="7" t="inlineStr">
        <is>
          <t>tests/lead-reports/clickable-map.spec.ts</t>
        </is>
      </c>
      <c r="I83" s="8" t="inlineStr">
        <is>
          <t>Pass</t>
        </is>
      </c>
      <c r="J83" s="8" t="n"/>
      <c r="K83" s="7" t="n"/>
    </row>
    <row r="84">
      <c r="A84" s="7" t="inlineStr">
        <is>
          <t>LR-MAP-26</t>
        </is>
      </c>
      <c r="B84" s="7" t="inlineStr">
        <is>
          <t>Qualification &amp; Conversion › View lost leads — clickable: Yes</t>
        </is>
      </c>
      <c r="C84" s="7" t="inlineStr">
        <is>
          <t>Lead Reports workbook (Clickable Map)</t>
        </is>
      </c>
      <c r="D84" s="7" t="inlineStr">
        <is>
          <t>Lead Reports</t>
        </is>
      </c>
      <c r="E84" s="8" t="inlineStr">
        <is>
          <t>REQ-LR-15</t>
        </is>
      </c>
      <c r="F84" s="8" t="n"/>
      <c r="G84" s="7" t="inlineStr">
        <is>
          <t>Yes</t>
        </is>
      </c>
      <c r="H84" s="7" t="inlineStr">
        <is>
          <t>tests/lead-reports/clickable-map.spec.ts</t>
        </is>
      </c>
      <c r="I84" s="8" t="inlineStr">
        <is>
          <t>Pass</t>
        </is>
      </c>
      <c r="J84" s="8" t="n"/>
      <c r="K84" s="7" t="n"/>
    </row>
    <row r="85">
      <c r="A85" s="7" t="inlineStr">
        <is>
          <t>LR-MAP-27</t>
        </is>
      </c>
      <c r="B85" s="7" t="inlineStr">
        <is>
          <t>Salesperson Scorecard › Leads, Contacted, Qualified, Opportunity, SPA Signed, Open Now, Idle &gt; 30 d, Never Contacted — clickable: Yes</t>
        </is>
      </c>
      <c r="C85" s="7" t="inlineStr">
        <is>
          <t>Lead Reports workbook (Clickable Map)</t>
        </is>
      </c>
      <c r="D85" s="7" t="inlineStr">
        <is>
          <t>Lead Reports</t>
        </is>
      </c>
      <c r="E85" s="8" t="inlineStr">
        <is>
          <t>REQ-LR-15</t>
        </is>
      </c>
      <c r="F85" s="8" t="n"/>
      <c r="G85" s="7" t="inlineStr">
        <is>
          <t>Yes</t>
        </is>
      </c>
      <c r="H85" s="7" t="inlineStr">
        <is>
          <t>tests/lead-reports/clickable-map.spec.ts</t>
        </is>
      </c>
      <c r="I85" s="8" t="inlineStr">
        <is>
          <t>Pass</t>
        </is>
      </c>
      <c r="J85" s="8" t="n"/>
      <c r="K85" s="7" t="n"/>
    </row>
    <row r="86">
      <c r="A86" s="7" t="inlineStr">
        <is>
          <t>LR-MAP-28</t>
        </is>
      </c>
      <c r="B86" s="7" t="inlineStr">
        <is>
          <t>Salesperson Scorecard › Conv. %, Win %, Won Value, Avg First Contact, Overdue Tasks, Calls, Meetings, Tasks Done — clickable: No</t>
        </is>
      </c>
      <c r="C86" s="7" t="inlineStr">
        <is>
          <t>Lead Reports workbook (Clickable Map)</t>
        </is>
      </c>
      <c r="D86" s="7" t="inlineStr">
        <is>
          <t>Lead Reports</t>
        </is>
      </c>
      <c r="E86" s="8" t="inlineStr">
        <is>
          <t>REQ-LR-15</t>
        </is>
      </c>
      <c r="F86" s="8" t="n"/>
      <c r="G86" s="7" t="inlineStr">
        <is>
          <t>Yes</t>
        </is>
      </c>
      <c r="H86" s="7" t="inlineStr">
        <is>
          <t>tests/lead-reports/clickable-map.spec.ts</t>
        </is>
      </c>
      <c r="I86" s="8" t="inlineStr">
        <is>
          <t>Pass</t>
        </is>
      </c>
      <c r="J86" s="8" t="n"/>
      <c r="K86" s="7" t="n"/>
    </row>
    <row r="87">
      <c r="A87" s="7" t="inlineStr">
        <is>
          <t>LR-MAP-29</t>
        </is>
      </c>
      <c r="B87" s="7" t="inlineStr">
        <is>
          <t>Salesperson Scorecard › Export — clickable: Yes</t>
        </is>
      </c>
      <c r="C87" s="7" t="inlineStr">
        <is>
          <t>Lead Reports workbook (Clickable Map)</t>
        </is>
      </c>
      <c r="D87" s="7" t="inlineStr">
        <is>
          <t>Lead Reports</t>
        </is>
      </c>
      <c r="E87" s="8" t="inlineStr">
        <is>
          <t>REQ-LR-15</t>
        </is>
      </c>
      <c r="F87" s="8" t="n"/>
      <c r="G87" s="7" t="inlineStr">
        <is>
          <t>Yes</t>
        </is>
      </c>
      <c r="H87" s="7" t="inlineStr">
        <is>
          <t>tests/lead-reports/clickable-map.spec.ts</t>
        </is>
      </c>
      <c r="I87" s="8" t="inlineStr">
        <is>
          <t>Pass</t>
        </is>
      </c>
      <c r="J87" s="8" t="n"/>
      <c r="K87" s="7" t="n"/>
    </row>
    <row r="88">
      <c r="A88" s="7" t="inlineStr">
        <is>
          <t>LR-MAP-30</t>
        </is>
      </c>
      <c r="B88" s="7" t="inlineStr">
        <is>
          <t>Drill-down list › Lead number links — clickable: Yes</t>
        </is>
      </c>
      <c r="C88" s="7" t="inlineStr">
        <is>
          <t>Lead Reports workbook (Clickable Map)</t>
        </is>
      </c>
      <c r="D88" s="7" t="inlineStr">
        <is>
          <t>Lead Reports</t>
        </is>
      </c>
      <c r="E88" s="8" t="inlineStr">
        <is>
          <t>REQ-LR-15</t>
        </is>
      </c>
      <c r="F88" s="8" t="n"/>
      <c r="G88" s="7" t="inlineStr">
        <is>
          <t>Yes</t>
        </is>
      </c>
      <c r="H88" s="7" t="inlineStr">
        <is>
          <t>tests/lead-reports/clickable-map.spec.ts</t>
        </is>
      </c>
      <c r="I88" s="8" t="inlineStr">
        <is>
          <t>Pass</t>
        </is>
      </c>
      <c r="J88" s="8" t="n"/>
      <c r="K88" s="7" t="n"/>
    </row>
    <row r="89">
      <c r="A89" s="7" t="inlineStr">
        <is>
          <t>LR-MAP-31</t>
        </is>
      </c>
      <c r="B89" s="7" t="inlineStr">
        <is>
          <t>Drill-down list › Export — clickable: Yes</t>
        </is>
      </c>
      <c r="C89" s="7" t="inlineStr">
        <is>
          <t>Lead Reports workbook (Clickable Map)</t>
        </is>
      </c>
      <c r="D89" s="7" t="inlineStr">
        <is>
          <t>Lead Reports</t>
        </is>
      </c>
      <c r="E89" s="8" t="inlineStr">
        <is>
          <t>REQ-LR-15</t>
        </is>
      </c>
      <c r="F89" s="8" t="n"/>
      <c r="G89" s="7" t="inlineStr">
        <is>
          <t>Yes</t>
        </is>
      </c>
      <c r="H89" s="7" t="inlineStr">
        <is>
          <t>tests/lead-reports/clickable-map.spec.ts</t>
        </is>
      </c>
      <c r="I89" s="8" t="inlineStr">
        <is>
          <t>Pass</t>
        </is>
      </c>
      <c r="J89" s="8" t="n"/>
      <c r="K89" s="7" t="n"/>
    </row>
    <row r="90">
      <c r="A90" s="7" t="inlineStr">
        <is>
          <t>LR-MAP-32</t>
        </is>
      </c>
      <c r="B90" s="7" t="inlineStr">
        <is>
          <t>Drill-down list › Close — clickable: Yes</t>
        </is>
      </c>
      <c r="C90" s="7" t="inlineStr">
        <is>
          <t>Lead Reports workbook (Clickable Map)</t>
        </is>
      </c>
      <c r="D90" s="7" t="inlineStr">
        <is>
          <t>Lead Reports</t>
        </is>
      </c>
      <c r="E90" s="8" t="inlineStr">
        <is>
          <t>REQ-LR-15</t>
        </is>
      </c>
      <c r="F90" s="8" t="n"/>
      <c r="G90" s="7" t="inlineStr">
        <is>
          <t>Yes</t>
        </is>
      </c>
      <c r="H90" s="7" t="inlineStr">
        <is>
          <t>tests/lead-reports/clickable-map.spec.ts</t>
        </is>
      </c>
      <c r="I90" s="8" t="inlineStr">
        <is>
          <t>Pass</t>
        </is>
      </c>
      <c r="J90" s="8" t="n"/>
      <c r="K90" s="7" t="n"/>
    </row>
    <row r="91">
      <c r="A91" s="7" t="inlineStr">
        <is>
          <t>LR-COV-01</t>
        </is>
      </c>
      <c r="B91" s="7" t="inlineStr">
        <is>
          <t>Every test case in Lead_Reports_Test_Cases.xlsx is automated</t>
        </is>
      </c>
      <c r="C91" s="7" t="inlineStr">
        <is>
          <t>Lead Reports workbook (coverage check)</t>
        </is>
      </c>
      <c r="D91" s="7" t="inlineStr">
        <is>
          <t>Lead Reports</t>
        </is>
      </c>
      <c r="E91" s="8" t="inlineStr">
        <is>
          <t>REQ-LR-16</t>
        </is>
      </c>
      <c r="F91" s="8" t="n"/>
      <c r="G91" s="7" t="inlineStr">
        <is>
          <t>Yes</t>
        </is>
      </c>
      <c r="H91" s="7" t="inlineStr">
        <is>
          <t>tests/lead-reports/coverage.spec.ts</t>
        </is>
      </c>
      <c r="I91" s="8" t="inlineStr">
        <is>
          <t>Pass</t>
        </is>
      </c>
      <c r="J91" s="8" t="n"/>
      <c r="K91" s="7" t="n"/>
    </row>
    <row r="92">
      <c r="A92" s="7" t="inlineStr">
        <is>
          <t>LR-139</t>
        </is>
      </c>
      <c r="B92" s="7" t="inlineStr">
        <is>
          <t>Open Leads Now equals hub Active Leads</t>
        </is>
      </c>
      <c r="C92" s="7" t="inlineStr">
        <is>
          <t>Lead Reports workbook</t>
        </is>
      </c>
      <c r="D92" s="7" t="inlineStr">
        <is>
          <t>Lead Reports</t>
        </is>
      </c>
      <c r="E92" s="8" t="inlineStr">
        <is>
          <t>REQ-LR-14</t>
        </is>
      </c>
      <c r="F92" s="8" t="inlineStr">
        <is>
          <t>High</t>
        </is>
      </c>
      <c r="G92" s="7" t="inlineStr">
        <is>
          <t>Yes</t>
        </is>
      </c>
      <c r="H92" s="7" t="inlineStr">
        <is>
          <t>tests/lead-reports/cross-page.spec.ts</t>
        </is>
      </c>
      <c r="I92" s="8" t="inlineStr">
        <is>
          <t>Pass</t>
        </is>
      </c>
      <c r="J92" s="8" t="n"/>
      <c r="K92" s="7" t="n"/>
    </row>
    <row r="93">
      <c r="A93" s="7" t="inlineStr">
        <is>
          <t>LR-140</t>
        </is>
      </c>
      <c r="B93" s="7" t="inlineStr">
        <is>
          <t>SPA Signed and Won Value match SPA and Sales Reports</t>
        </is>
      </c>
      <c r="C93" s="7" t="inlineStr">
        <is>
          <t>Lead Reports workbook</t>
        </is>
      </c>
      <c r="D93" s="7" t="inlineStr">
        <is>
          <t>Lead Reports</t>
        </is>
      </c>
      <c r="E93" s="8" t="inlineStr">
        <is>
          <t>REQ-LR-14</t>
        </is>
      </c>
      <c r="F93" s="8" t="inlineStr">
        <is>
          <t>High</t>
        </is>
      </c>
      <c r="G93" s="7" t="inlineStr">
        <is>
          <t>Yes</t>
        </is>
      </c>
      <c r="H93" s="7" t="inlineStr">
        <is>
          <t>tests/lead-reports/cross-page.spec.ts</t>
        </is>
      </c>
      <c r="I93" s="8" t="inlineStr">
        <is>
          <t>Pass</t>
        </is>
      </c>
      <c r="J93" s="8" t="n"/>
      <c r="K93" s="7" t="n"/>
    </row>
    <row r="94">
      <c r="A94" s="7" t="inlineStr">
        <is>
          <t>LR-141</t>
        </is>
      </c>
      <c r="B94" s="7" t="inlineStr">
        <is>
          <t>Usable on tablet and phone</t>
        </is>
      </c>
      <c r="C94" s="7" t="inlineStr">
        <is>
          <t>Lead Reports workbook</t>
        </is>
      </c>
      <c r="D94" s="7" t="inlineStr">
        <is>
          <t>Lead Reports</t>
        </is>
      </c>
      <c r="E94" s="8" t="inlineStr">
        <is>
          <t>REQ-LR-14</t>
        </is>
      </c>
      <c r="F94" s="8" t="inlineStr">
        <is>
          <t>Medium</t>
        </is>
      </c>
      <c r="G94" s="7" t="inlineStr">
        <is>
          <t>Yes</t>
        </is>
      </c>
      <c r="H94" s="7" t="inlineStr">
        <is>
          <t>tests/lead-reports/cross-page.spec.ts</t>
        </is>
      </c>
      <c r="I94" s="8" t="inlineStr">
        <is>
          <t>Fail</t>
        </is>
      </c>
      <c r="J94" s="8" t="inlineStr">
        <is>
          <t>DEF-13</t>
        </is>
      </c>
      <c r="K94" s="7" t="inlineStr">
        <is>
          <t>Error: phone overview: no page-wide horizontal scroll ("Lead Funnel" 42px too wide, "Data Completeness" 42px too wide)</t>
        </is>
      </c>
    </row>
    <row r="95">
      <c r="A95" s="7" t="inlineStr">
        <is>
          <t>LR-142</t>
        </is>
      </c>
      <c r="B95" s="7" t="inlineStr">
        <is>
          <t>Keyboard access to counts and tabs</t>
        </is>
      </c>
      <c r="C95" s="7" t="inlineStr">
        <is>
          <t>Lead Reports workbook</t>
        </is>
      </c>
      <c r="D95" s="7" t="inlineStr">
        <is>
          <t>Lead Reports</t>
        </is>
      </c>
      <c r="E95" s="8" t="inlineStr">
        <is>
          <t>REQ-LR-14</t>
        </is>
      </c>
      <c r="F95" s="8" t="inlineStr">
        <is>
          <t>Medium</t>
        </is>
      </c>
      <c r="G95" s="7" t="inlineStr">
        <is>
          <t>Yes</t>
        </is>
      </c>
      <c r="H95" s="7" t="inlineStr">
        <is>
          <t>tests/lead-reports/cross-page.spec.ts</t>
        </is>
      </c>
      <c r="I95" s="8" t="inlineStr">
        <is>
          <t>Pass</t>
        </is>
      </c>
      <c r="J95" s="8" t="n"/>
      <c r="K95" s="7" t="n"/>
    </row>
    <row r="96">
      <c r="A96" s="7" t="inlineStr">
        <is>
          <t>LR-143</t>
        </is>
      </c>
      <c r="B96" s="7" t="inlineStr">
        <is>
          <t>Report and drill-downs load quickly</t>
        </is>
      </c>
      <c r="C96" s="7" t="inlineStr">
        <is>
          <t>Lead Reports workbook</t>
        </is>
      </c>
      <c r="D96" s="7" t="inlineStr">
        <is>
          <t>Lead Reports</t>
        </is>
      </c>
      <c r="E96" s="8" t="inlineStr">
        <is>
          <t>REQ-LR-14</t>
        </is>
      </c>
      <c r="F96" s="8" t="inlineStr">
        <is>
          <t>Medium</t>
        </is>
      </c>
      <c r="G96" s="7" t="inlineStr">
        <is>
          <t>Yes</t>
        </is>
      </c>
      <c r="H96" s="7" t="inlineStr">
        <is>
          <t>tests/lead-reports/cross-page.spec.ts</t>
        </is>
      </c>
      <c r="I96" s="8" t="inlineStr">
        <is>
          <t>Pass</t>
        </is>
      </c>
      <c r="J96" s="8" t="n"/>
      <c r="K96" s="7" t="n"/>
    </row>
    <row r="97">
      <c r="A97" s="7" t="inlineStr">
        <is>
          <t>LR-144</t>
        </is>
      </c>
      <c r="B97" s="7" t="inlineStr">
        <is>
          <t>API failure shows a message</t>
        </is>
      </c>
      <c r="C97" s="7" t="inlineStr">
        <is>
          <t>Lead Reports workbook</t>
        </is>
      </c>
      <c r="D97" s="7" t="inlineStr">
        <is>
          <t>Lead Reports</t>
        </is>
      </c>
      <c r="E97" s="8" t="inlineStr">
        <is>
          <t>REQ-LR-14</t>
        </is>
      </c>
      <c r="F97" s="8" t="inlineStr">
        <is>
          <t>Medium</t>
        </is>
      </c>
      <c r="G97" s="7" t="inlineStr">
        <is>
          <t>Yes</t>
        </is>
      </c>
      <c r="H97" s="7" t="inlineStr">
        <is>
          <t>tests/lead-reports/cross-page.spec.ts</t>
        </is>
      </c>
      <c r="I97" s="8" t="inlineStr">
        <is>
          <t>Pass</t>
        </is>
      </c>
      <c r="J97" s="8" t="n"/>
      <c r="K97" s="7" t="n"/>
    </row>
    <row r="98">
      <c r="A98" s="7" t="inlineStr">
        <is>
          <t>LR-068</t>
        </is>
      </c>
      <c r="B98" s="7" t="inlineStr">
        <is>
          <t>Drill-down list layout</t>
        </is>
      </c>
      <c r="C98" s="7" t="inlineStr">
        <is>
          <t>Lead Reports workbook</t>
        </is>
      </c>
      <c r="D98" s="7" t="inlineStr">
        <is>
          <t>Lead Reports</t>
        </is>
      </c>
      <c r="E98" s="8" t="inlineStr">
        <is>
          <t>REQ-LR-09</t>
        </is>
      </c>
      <c r="F98" s="8" t="inlineStr">
        <is>
          <t>High</t>
        </is>
      </c>
      <c r="G98" s="7" t="inlineStr">
        <is>
          <t>Yes</t>
        </is>
      </c>
      <c r="H98" s="7" t="inlineStr">
        <is>
          <t>tests/lead-reports/drill-down.spec.ts</t>
        </is>
      </c>
      <c r="I98" s="8" t="inlineStr">
        <is>
          <t>Pass</t>
        </is>
      </c>
      <c r="J98" s="8" t="n"/>
      <c r="K98" s="7" t="n"/>
    </row>
    <row r="99">
      <c r="A99" s="7" t="inlineStr">
        <is>
          <t>LR-069</t>
        </is>
      </c>
      <c r="B99" s="7" t="inlineStr">
        <is>
          <t>Rows listed = the number clicked</t>
        </is>
      </c>
      <c r="C99" s="7" t="inlineStr">
        <is>
          <t>Lead Reports workbook</t>
        </is>
      </c>
      <c r="D99" s="7" t="inlineStr">
        <is>
          <t>Lead Reports</t>
        </is>
      </c>
      <c r="E99" s="8" t="inlineStr">
        <is>
          <t>REQ-LR-09</t>
        </is>
      </c>
      <c r="F99" s="8" t="inlineStr">
        <is>
          <t>High</t>
        </is>
      </c>
      <c r="G99" s="7" t="inlineStr">
        <is>
          <t>Yes</t>
        </is>
      </c>
      <c r="H99" s="7" t="inlineStr">
        <is>
          <t>tests/lead-reports/drill-down.spec.ts</t>
        </is>
      </c>
      <c r="I99" s="8" t="inlineStr">
        <is>
          <t>Pass</t>
        </is>
      </c>
      <c r="J99" s="8" t="n"/>
      <c r="K99" s="7" t="n"/>
    </row>
    <row r="100">
      <c r="A100" s="7" t="inlineStr">
        <is>
          <t>LR-070</t>
        </is>
      </c>
      <c r="B100" s="7" t="inlineStr">
        <is>
          <t>Lists over 500 leads say they are truncated</t>
        </is>
      </c>
      <c r="C100" s="7" t="inlineStr">
        <is>
          <t>Lead Reports workbook</t>
        </is>
      </c>
      <c r="D100" s="7" t="inlineStr">
        <is>
          <t>Lead Reports</t>
        </is>
      </c>
      <c r="E100" s="8" t="inlineStr">
        <is>
          <t>REQ-LR-09</t>
        </is>
      </c>
      <c r="F100" s="8" t="inlineStr">
        <is>
          <t>Medium</t>
        </is>
      </c>
      <c r="G100" s="7" t="inlineStr">
        <is>
          <t>Yes</t>
        </is>
      </c>
      <c r="H100" s="7" t="inlineStr">
        <is>
          <t>tests/lead-reports/drill-down.spec.ts</t>
        </is>
      </c>
      <c r="I100" s="8" t="inlineStr">
        <is>
          <t>Pass</t>
        </is>
      </c>
      <c r="J100" s="8" t="n"/>
      <c r="K100" s="7" t="n"/>
    </row>
    <row r="101">
      <c r="A101" s="7" t="inlineStr">
        <is>
          <t>LR-071</t>
        </is>
      </c>
      <c r="B101" s="7" t="inlineStr">
        <is>
          <t>Export downloads the listed leads</t>
        </is>
      </c>
      <c r="C101" s="7" t="inlineStr">
        <is>
          <t>Lead Reports workbook</t>
        </is>
      </c>
      <c r="D101" s="7" t="inlineStr">
        <is>
          <t>Lead Reports</t>
        </is>
      </c>
      <c r="E101" s="8" t="inlineStr">
        <is>
          <t>REQ-LR-09</t>
        </is>
      </c>
      <c r="F101" s="8" t="inlineStr">
        <is>
          <t>High</t>
        </is>
      </c>
      <c r="G101" s="7" t="inlineStr">
        <is>
          <t>Yes</t>
        </is>
      </c>
      <c r="H101" s="7" t="inlineStr">
        <is>
          <t>tests/lead-reports/drill-down.spec.ts</t>
        </is>
      </c>
      <c r="I101" s="8" t="inlineStr">
        <is>
          <t>Pass</t>
        </is>
      </c>
      <c r="J101" s="8" t="n"/>
      <c r="K101" s="7" t="n"/>
    </row>
    <row r="102">
      <c r="A102" s="7" t="inlineStr">
        <is>
          <t>LR-072</t>
        </is>
      </c>
      <c r="B102" s="7" t="inlineStr">
        <is>
          <t>Export of a truncated list contains every lead</t>
        </is>
      </c>
      <c r="C102" s="7" t="inlineStr">
        <is>
          <t>Lead Reports workbook</t>
        </is>
      </c>
      <c r="D102" s="7" t="inlineStr">
        <is>
          <t>Lead Reports</t>
        </is>
      </c>
      <c r="E102" s="8" t="inlineStr">
        <is>
          <t>REQ-LR-09</t>
        </is>
      </c>
      <c r="F102" s="8" t="inlineStr">
        <is>
          <t>High</t>
        </is>
      </c>
      <c r="G102" s="7" t="inlineStr">
        <is>
          <t>Yes</t>
        </is>
      </c>
      <c r="H102" s="7" t="inlineStr">
        <is>
          <t>tests/lead-reports/drill-down.spec.ts</t>
        </is>
      </c>
      <c r="I102" s="8" t="inlineStr">
        <is>
          <t>Pass</t>
        </is>
      </c>
      <c r="J102" s="8" t="n"/>
      <c r="K102" s="7" t="n"/>
    </row>
    <row r="103">
      <c r="A103" s="7" t="inlineStr">
        <is>
          <t>LR-073</t>
        </is>
      </c>
      <c r="B103" s="7" t="inlineStr">
        <is>
          <t>Close removes the list</t>
        </is>
      </c>
      <c r="C103" s="7" t="inlineStr">
        <is>
          <t>Lead Reports workbook</t>
        </is>
      </c>
      <c r="D103" s="7" t="inlineStr">
        <is>
          <t>Lead Reports</t>
        </is>
      </c>
      <c r="E103" s="8" t="inlineStr">
        <is>
          <t>REQ-LR-09</t>
        </is>
      </c>
      <c r="F103" s="8" t="inlineStr">
        <is>
          <t>Medium</t>
        </is>
      </c>
      <c r="G103" s="7" t="inlineStr">
        <is>
          <t>Yes</t>
        </is>
      </c>
      <c r="H103" s="7" t="inlineStr">
        <is>
          <t>tests/lead-reports/drill-down.spec.ts</t>
        </is>
      </c>
      <c r="I103" s="8" t="inlineStr">
        <is>
          <t>Pass</t>
        </is>
      </c>
      <c r="J103" s="8" t="n"/>
      <c r="K103" s="7" t="n"/>
    </row>
    <row r="104">
      <c r="A104" s="7" t="inlineStr">
        <is>
          <t>LR-074</t>
        </is>
      </c>
      <c r="B104" s="7" t="inlineStr">
        <is>
          <t>Escape closes the list</t>
        </is>
      </c>
      <c r="C104" s="7" t="inlineStr">
        <is>
          <t>Lead Reports workbook</t>
        </is>
      </c>
      <c r="D104" s="7" t="inlineStr">
        <is>
          <t>Lead Reports</t>
        </is>
      </c>
      <c r="E104" s="8" t="inlineStr">
        <is>
          <t>REQ-LR-09</t>
        </is>
      </c>
      <c r="F104" s="8" t="inlineStr">
        <is>
          <t>Low</t>
        </is>
      </c>
      <c r="G104" s="7" t="inlineStr">
        <is>
          <t>Yes</t>
        </is>
      </c>
      <c r="H104" s="7" t="inlineStr">
        <is>
          <t>tests/lead-reports/drill-down.spec.ts</t>
        </is>
      </c>
      <c r="I104" s="8" t="inlineStr">
        <is>
          <t>Fail</t>
        </is>
      </c>
      <c r="J104" s="8" t="inlineStr">
        <is>
          <t>DEF-12</t>
        </is>
      </c>
      <c r="K104" s="7" t="inlineStr">
        <is>
          <t>Error: List closed by Esc</t>
        </is>
      </c>
    </row>
    <row r="105">
      <c r="A105" s="7" t="inlineStr">
        <is>
          <t>LR-075</t>
        </is>
      </c>
      <c r="B105" s="7" t="inlineStr">
        <is>
          <t>Opening another count replaces the list</t>
        </is>
      </c>
      <c r="C105" s="7" t="inlineStr">
        <is>
          <t>Lead Reports workbook</t>
        </is>
      </c>
      <c r="D105" s="7" t="inlineStr">
        <is>
          <t>Lead Reports</t>
        </is>
      </c>
      <c r="E105" s="8" t="inlineStr">
        <is>
          <t>REQ-LR-09</t>
        </is>
      </c>
      <c r="F105" s="8" t="inlineStr">
        <is>
          <t>Medium</t>
        </is>
      </c>
      <c r="G105" s="7" t="inlineStr">
        <is>
          <t>Yes</t>
        </is>
      </c>
      <c r="H105" s="7" t="inlineStr">
        <is>
          <t>tests/lead-reports/drill-down.spec.ts</t>
        </is>
      </c>
      <c r="I105" s="8" t="inlineStr">
        <is>
          <t>Pass</t>
        </is>
      </c>
      <c r="J105" s="8" t="n"/>
      <c r="K105" s="7" t="n"/>
    </row>
    <row r="106">
      <c r="A106" s="7" t="inlineStr">
        <is>
          <t>LR-076</t>
        </is>
      </c>
      <c r="B106" s="7" t="inlineStr">
        <is>
          <t>Switching tab closes the list</t>
        </is>
      </c>
      <c r="C106" s="7" t="inlineStr">
        <is>
          <t>Lead Reports workbook</t>
        </is>
      </c>
      <c r="D106" s="7" t="inlineStr">
        <is>
          <t>Lead Reports</t>
        </is>
      </c>
      <c r="E106" s="8" t="inlineStr">
        <is>
          <t>REQ-LR-09</t>
        </is>
      </c>
      <c r="F106" s="8" t="inlineStr">
        <is>
          <t>Medium</t>
        </is>
      </c>
      <c r="G106" s="7" t="inlineStr">
        <is>
          <t>Yes</t>
        </is>
      </c>
      <c r="H106" s="7" t="inlineStr">
        <is>
          <t>tests/lead-reports/drill-down.spec.ts</t>
        </is>
      </c>
      <c r="I106" s="8" t="inlineStr">
        <is>
          <t>Pass</t>
        </is>
      </c>
      <c r="J106" s="8" t="n"/>
      <c r="K106" s="7" t="n"/>
    </row>
    <row r="107">
      <c r="A107" s="7" t="inlineStr">
        <is>
          <t>LR-077</t>
        </is>
      </c>
      <c r="B107" s="7" t="inlineStr">
        <is>
          <t>Lead number opens the lead</t>
        </is>
      </c>
      <c r="C107" s="7" t="inlineStr">
        <is>
          <t>Lead Reports workbook</t>
        </is>
      </c>
      <c r="D107" s="7" t="inlineStr">
        <is>
          <t>Lead Reports</t>
        </is>
      </c>
      <c r="E107" s="8" t="inlineStr">
        <is>
          <t>REQ-LR-09</t>
        </is>
      </c>
      <c r="F107" s="8" t="inlineStr">
        <is>
          <t>High</t>
        </is>
      </c>
      <c r="G107" s="7" t="inlineStr">
        <is>
          <t>Yes</t>
        </is>
      </c>
      <c r="H107" s="7" t="inlineStr">
        <is>
          <t>tests/lead-reports/drill-down.spec.ts</t>
        </is>
      </c>
      <c r="I107" s="8" t="inlineStr">
        <is>
          <t>Pass</t>
        </is>
      </c>
      <c r="J107" s="8" t="n"/>
      <c r="K107" s="7" t="n"/>
    </row>
    <row r="108">
      <c r="A108" s="7" t="inlineStr">
        <is>
          <t>LR-078</t>
        </is>
      </c>
      <c r="B108" s="7" t="inlineStr">
        <is>
          <t>Rows match the bucket</t>
        </is>
      </c>
      <c r="C108" s="7" t="inlineStr">
        <is>
          <t>Lead Reports workbook</t>
        </is>
      </c>
      <c r="D108" s="7" t="inlineStr">
        <is>
          <t>Lead Reports</t>
        </is>
      </c>
      <c r="E108" s="8" t="inlineStr">
        <is>
          <t>REQ-LR-09</t>
        </is>
      </c>
      <c r="F108" s="8" t="inlineStr">
        <is>
          <t>High</t>
        </is>
      </c>
      <c r="G108" s="7" t="inlineStr">
        <is>
          <t>Yes</t>
        </is>
      </c>
      <c r="H108" s="7" t="inlineStr">
        <is>
          <t>tests/lead-reports/drill-down.spec.ts</t>
        </is>
      </c>
      <c r="I108" s="8" t="inlineStr">
        <is>
          <t>Pass</t>
        </is>
      </c>
      <c r="J108" s="8" t="n"/>
      <c r="K108" s="7" t="n"/>
    </row>
    <row r="109">
      <c r="A109" s="7" t="inlineStr">
        <is>
          <t>LR-079</t>
        </is>
      </c>
      <c r="B109" s="7" t="inlineStr">
        <is>
          <t>"as of today" lists ignore the period</t>
        </is>
      </c>
      <c r="C109" s="7" t="inlineStr">
        <is>
          <t>Lead Reports workbook</t>
        </is>
      </c>
      <c r="D109" s="7" t="inlineStr">
        <is>
          <t>Lead Reports</t>
        </is>
      </c>
      <c r="E109" s="8" t="inlineStr">
        <is>
          <t>REQ-LR-09</t>
        </is>
      </c>
      <c r="F109" s="8" t="inlineStr">
        <is>
          <t>Medium</t>
        </is>
      </c>
      <c r="G109" s="7" t="inlineStr">
        <is>
          <t>Yes</t>
        </is>
      </c>
      <c r="H109" s="7" t="inlineStr">
        <is>
          <t>tests/lead-reports/drill-down.spec.ts</t>
        </is>
      </c>
      <c r="I109" s="8" t="inlineStr">
        <is>
          <t>Pass</t>
        </is>
      </c>
      <c r="J109" s="8" t="n"/>
      <c r="K109" s="7" t="n"/>
    </row>
    <row r="110">
      <c r="A110" s="7" t="inlineStr">
        <is>
          <t>LR-145</t>
        </is>
      </c>
      <c r="B110" s="7" t="inlineStr">
        <is>
          <t>Zero counts are not links</t>
        </is>
      </c>
      <c r="C110" s="7" t="inlineStr">
        <is>
          <t>Lead Reports workbook</t>
        </is>
      </c>
      <c r="D110" s="7" t="inlineStr">
        <is>
          <t>Lead Reports</t>
        </is>
      </c>
      <c r="E110" s="8" t="inlineStr">
        <is>
          <t>REQ-LR-09</t>
        </is>
      </c>
      <c r="F110" s="8" t="inlineStr">
        <is>
          <t>Low</t>
        </is>
      </c>
      <c r="G110" s="7" t="inlineStr">
        <is>
          <t>Yes</t>
        </is>
      </c>
      <c r="H110" s="7" t="inlineStr">
        <is>
          <t>tests/lead-reports/drill-down.spec.ts</t>
        </is>
      </c>
      <c r="I110" s="8" t="inlineStr">
        <is>
          <t>Pass</t>
        </is>
      </c>
      <c r="J110" s="8" t="n"/>
      <c r="K110" s="7" t="n"/>
    </row>
    <row r="111">
      <c r="A111" s="7" t="inlineStr">
        <is>
          <t>LR-146</t>
        </is>
      </c>
      <c r="B111" s="7" t="inlineStr">
        <is>
          <t>Every count link agrees with its list and export</t>
        </is>
      </c>
      <c r="C111" s="7" t="inlineStr">
        <is>
          <t>Lead Reports workbook</t>
        </is>
      </c>
      <c r="D111" s="7" t="inlineStr">
        <is>
          <t>Lead Reports</t>
        </is>
      </c>
      <c r="E111" s="8" t="inlineStr">
        <is>
          <t>REQ-LR-09</t>
        </is>
      </c>
      <c r="F111" s="8" t="inlineStr">
        <is>
          <t>High</t>
        </is>
      </c>
      <c r="G111" s="7" t="inlineStr">
        <is>
          <t>Yes</t>
        </is>
      </c>
      <c r="H111" s="7" t="inlineStr">
        <is>
          <t>tests/lead-reports/drill-down.spec.ts</t>
        </is>
      </c>
      <c r="I111" s="8" t="inlineStr">
        <is>
          <t>Pass</t>
        </is>
      </c>
      <c r="J111" s="8" t="n"/>
      <c r="K111" s="7" t="n"/>
    </row>
    <row r="112">
      <c r="A112" s="7" t="inlineStr">
        <is>
          <t>LR-DDV-01</t>
        </is>
      </c>
      <c r="B112" s="7" t="inlineStr">
        <is>
          <t>Drill-down verification: Overview &amp; Funnel (KPI cards and funnel)</t>
        </is>
      </c>
      <c r="C112" s="7" t="inlineStr">
        <is>
          <t>Lead Reports workbook (Drill-down Verification)</t>
        </is>
      </c>
      <c r="D112" s="7" t="inlineStr">
        <is>
          <t>Lead Reports</t>
        </is>
      </c>
      <c r="E112" s="8" t="inlineStr">
        <is>
          <t>REQ-LR-09</t>
        </is>
      </c>
      <c r="F112" s="8" t="n"/>
      <c r="G112" s="7" t="inlineStr">
        <is>
          <t>Yes</t>
        </is>
      </c>
      <c r="H112" s="7" t="inlineStr">
        <is>
          <t>tests/lead-reports/drill-verification.spec.ts</t>
        </is>
      </c>
      <c r="I112" s="8" t="inlineStr">
        <is>
          <t>Pass</t>
        </is>
      </c>
      <c r="J112" s="8" t="n"/>
      <c r="K112" s="7" t="n"/>
    </row>
    <row r="113">
      <c r="A113" s="7" t="inlineStr">
        <is>
          <t>LR-DDV-02</t>
        </is>
      </c>
      <c r="B113" s="7" t="inlineStr">
        <is>
          <t>Drill-down verification: Source &amp; Channel grouped by Lead Source (every count)</t>
        </is>
      </c>
      <c r="C113" s="7" t="inlineStr">
        <is>
          <t>Lead Reports workbook (Drill-down Verification)</t>
        </is>
      </c>
      <c r="D113" s="7" t="inlineStr">
        <is>
          <t>Lead Reports</t>
        </is>
      </c>
      <c r="E113" s="8" t="inlineStr">
        <is>
          <t>REQ-LR-09</t>
        </is>
      </c>
      <c r="F113" s="8" t="n"/>
      <c r="G113" s="7" t="inlineStr">
        <is>
          <t>Yes</t>
        </is>
      </c>
      <c r="H113" s="7" t="inlineStr">
        <is>
          <t>tests/lead-reports/drill-verification.spec.ts</t>
        </is>
      </c>
      <c r="I113" s="8" t="inlineStr">
        <is>
          <t>Pass</t>
        </is>
      </c>
      <c r="J113" s="8" t="n"/>
      <c r="K113" s="7" t="n"/>
    </row>
    <row r="114">
      <c r="A114" s="7" t="inlineStr">
        <is>
          <t>LR-DDV-03</t>
        </is>
      </c>
      <c r="B114" s="7" t="inlineStr">
        <is>
          <t>Drill-down verification: Source &amp; Channel grouped by Capture Channel ("Leads" of every row)</t>
        </is>
      </c>
      <c r="C114" s="7" t="inlineStr">
        <is>
          <t>Lead Reports workbook (Drill-down Verification)</t>
        </is>
      </c>
      <c r="D114" s="7" t="inlineStr">
        <is>
          <t>Lead Reports</t>
        </is>
      </c>
      <c r="E114" s="8" t="inlineStr">
        <is>
          <t>REQ-LR-09</t>
        </is>
      </c>
      <c r="F114" s="8" t="n"/>
      <c r="G114" s="7" t="inlineStr">
        <is>
          <t>Yes</t>
        </is>
      </c>
      <c r="H114" s="7" t="inlineStr">
        <is>
          <t>tests/lead-reports/drill-verification.spec.ts</t>
        </is>
      </c>
      <c r="I114" s="8" t="inlineStr">
        <is>
          <t>Pass</t>
        </is>
      </c>
      <c r="J114" s="8" t="n"/>
      <c r="K114" s="7" t="n"/>
    </row>
    <row r="115">
      <c r="A115" s="7" t="inlineStr">
        <is>
          <t>LR-DDV-04</t>
        </is>
      </c>
      <c r="B115" s="7" t="inlineStr">
        <is>
          <t>Drill-down verification: Source &amp; Channel grouped by Campaign ("Leads" of every row)</t>
        </is>
      </c>
      <c r="C115" s="7" t="inlineStr">
        <is>
          <t>Lead Reports workbook (Drill-down Verification)</t>
        </is>
      </c>
      <c r="D115" s="7" t="inlineStr">
        <is>
          <t>Lead Reports</t>
        </is>
      </c>
      <c r="E115" s="8" t="inlineStr">
        <is>
          <t>REQ-LR-09</t>
        </is>
      </c>
      <c r="F115" s="8" t="n"/>
      <c r="G115" s="7" t="inlineStr">
        <is>
          <t>Yes</t>
        </is>
      </c>
      <c r="H115" s="7" t="inlineStr">
        <is>
          <t>tests/lead-reports/drill-verification.spec.ts</t>
        </is>
      </c>
      <c r="I115" s="8" t="inlineStr">
        <is>
          <t>Pass</t>
        </is>
      </c>
      <c r="J115" s="8" t="n"/>
      <c r="K115" s="7" t="n"/>
    </row>
    <row r="116">
      <c r="A116" s="7" t="inlineStr">
        <is>
          <t>LR-DDV-05</t>
        </is>
      </c>
      <c r="B116" s="7" t="inlineStr">
        <is>
          <t>Drill-down verification: Source &amp; Channel grouped by Broker ("Leads" of every row)</t>
        </is>
      </c>
      <c r="C116" s="7" t="inlineStr">
        <is>
          <t>Lead Reports workbook (Drill-down Verification)</t>
        </is>
      </c>
      <c r="D116" s="7" t="inlineStr">
        <is>
          <t>Lead Reports</t>
        </is>
      </c>
      <c r="E116" s="8" t="inlineStr">
        <is>
          <t>REQ-LR-09</t>
        </is>
      </c>
      <c r="F116" s="8" t="n"/>
      <c r="G116" s="7" t="inlineStr">
        <is>
          <t>Yes</t>
        </is>
      </c>
      <c r="H116" s="7" t="inlineStr">
        <is>
          <t>tests/lead-reports/drill-verification.spec.ts</t>
        </is>
      </c>
      <c r="I116" s="8" t="inlineStr">
        <is>
          <t>Pass</t>
        </is>
      </c>
      <c r="J116" s="8" t="n"/>
      <c r="K116" s="7" t="n"/>
    </row>
    <row r="117">
      <c r="A117" s="7" t="inlineStr">
        <is>
          <t>LR-DDV-06</t>
        </is>
      </c>
      <c r="B117" s="7" t="inlineStr">
        <is>
          <t>Drill-down verification: Source &amp; Channel grouped by Salesperson ("Leads" of every row)</t>
        </is>
      </c>
      <c r="C117" s="7" t="inlineStr">
        <is>
          <t>Lead Reports workbook (Drill-down Verification)</t>
        </is>
      </c>
      <c r="D117" s="7" t="inlineStr">
        <is>
          <t>Lead Reports</t>
        </is>
      </c>
      <c r="E117" s="8" t="inlineStr">
        <is>
          <t>REQ-LR-09</t>
        </is>
      </c>
      <c r="F117" s="8" t="n"/>
      <c r="G117" s="7" t="inlineStr">
        <is>
          <t>Yes</t>
        </is>
      </c>
      <c r="H117" s="7" t="inlineStr">
        <is>
          <t>tests/lead-reports/drill-verification.spec.ts</t>
        </is>
      </c>
      <c r="I117" s="8" t="inlineStr">
        <is>
          <t>Pass</t>
        </is>
      </c>
      <c r="J117" s="8" t="n"/>
      <c r="K117" s="7" t="n"/>
    </row>
    <row r="118">
      <c r="A118" s="7" t="inlineStr">
        <is>
          <t>LR-DDV-07</t>
        </is>
      </c>
      <c r="B118" s="7" t="inlineStr">
        <is>
          <t>Drill-down verification: Source &amp; Channel grouped by Project ("Leads" of every row)</t>
        </is>
      </c>
      <c r="C118" s="7" t="inlineStr">
        <is>
          <t>Lead Reports workbook (Drill-down Verification)</t>
        </is>
      </c>
      <c r="D118" s="7" t="inlineStr">
        <is>
          <t>Lead Reports</t>
        </is>
      </c>
      <c r="E118" s="8" t="inlineStr">
        <is>
          <t>REQ-LR-09</t>
        </is>
      </c>
      <c r="F118" s="8" t="n"/>
      <c r="G118" s="7" t="inlineStr">
        <is>
          <t>Yes</t>
        </is>
      </c>
      <c r="H118" s="7" t="inlineStr">
        <is>
          <t>tests/lead-reports/drill-verification.spec.ts</t>
        </is>
      </c>
      <c r="I118" s="8" t="inlineStr">
        <is>
          <t>Pass</t>
        </is>
      </c>
      <c r="J118" s="8" t="n"/>
      <c r="K118" s="7" t="n"/>
    </row>
    <row r="119">
      <c r="A119" s="7" t="inlineStr">
        <is>
          <t>LR-DDV-08</t>
        </is>
      </c>
      <c r="B119" s="7" t="inlineStr">
        <is>
          <t>Drill-down verification: Source &amp; Channel grouped by Nationality ("Leads" of every row)</t>
        </is>
      </c>
      <c r="C119" s="7" t="inlineStr">
        <is>
          <t>Lead Reports workbook (Drill-down Verification)</t>
        </is>
      </c>
      <c r="D119" s="7" t="inlineStr">
        <is>
          <t>Lead Reports</t>
        </is>
      </c>
      <c r="E119" s="8" t="inlineStr">
        <is>
          <t>REQ-LR-09</t>
        </is>
      </c>
      <c r="F119" s="8" t="n"/>
      <c r="G119" s="7" t="inlineStr">
        <is>
          <t>Yes</t>
        </is>
      </c>
      <c r="H119" s="7" t="inlineStr">
        <is>
          <t>tests/lead-reports/drill-verification.spec.ts</t>
        </is>
      </c>
      <c r="I119" s="8" t="inlineStr">
        <is>
          <t>Pass</t>
        </is>
      </c>
      <c r="J119" s="8" t="n"/>
      <c r="K119" s="7" t="n"/>
    </row>
    <row r="120">
      <c r="A120" s="7" t="inlineStr">
        <is>
          <t>LR-DDV-09</t>
        </is>
      </c>
      <c r="B120" s="7" t="inlineStr">
        <is>
          <t>Drill-down verification: Source &amp; Channel grouped by Prospect Type ("Leads" of every row)</t>
        </is>
      </c>
      <c r="C120" s="7" t="inlineStr">
        <is>
          <t>Lead Reports workbook (Drill-down Verification)</t>
        </is>
      </c>
      <c r="D120" s="7" t="inlineStr">
        <is>
          <t>Lead Reports</t>
        </is>
      </c>
      <c r="E120" s="8" t="inlineStr">
        <is>
          <t>REQ-LR-09</t>
        </is>
      </c>
      <c r="F120" s="8" t="n"/>
      <c r="G120" s="7" t="inlineStr">
        <is>
          <t>Yes</t>
        </is>
      </c>
      <c r="H120" s="7" t="inlineStr">
        <is>
          <t>tests/lead-reports/drill-verification.spec.ts</t>
        </is>
      </c>
      <c r="I120" s="8" t="inlineStr">
        <is>
          <t>Pass</t>
        </is>
      </c>
      <c r="J120" s="8" t="n"/>
      <c r="K120" s="7" t="n"/>
    </row>
    <row r="121">
      <c r="A121" s="7" t="inlineStr">
        <is>
          <t>LR-DDV-10</t>
        </is>
      </c>
      <c r="B121" s="7" t="inlineStr">
        <is>
          <t>Drill-down verification: Aging &amp; Follow-up (cards and Open Leads by Salesperson)</t>
        </is>
      </c>
      <c r="C121" s="7" t="inlineStr">
        <is>
          <t>Lead Reports workbook (Drill-down Verification)</t>
        </is>
      </c>
      <c r="D121" s="7" t="inlineStr">
        <is>
          <t>Lead Reports</t>
        </is>
      </c>
      <c r="E121" s="8" t="inlineStr">
        <is>
          <t>REQ-LR-09</t>
        </is>
      </c>
      <c r="F121" s="8" t="n"/>
      <c r="G121" s="7" t="inlineStr">
        <is>
          <t>Yes</t>
        </is>
      </c>
      <c r="H121" s="7" t="inlineStr">
        <is>
          <t>tests/lead-reports/drill-verification.spec.ts</t>
        </is>
      </c>
      <c r="I121" s="8" t="inlineStr">
        <is>
          <t>Pass</t>
        </is>
      </c>
      <c r="J121" s="8" t="n"/>
      <c r="K121" s="7" t="n"/>
    </row>
    <row r="122">
      <c r="A122" s="7" t="inlineStr">
        <is>
          <t>LR-DDV-11</t>
        </is>
      </c>
      <c r="B122" s="7" t="inlineStr">
        <is>
          <t>Drill-down verification: Qualification &amp; Conversion — View lost leads = Lost Reasons total</t>
        </is>
      </c>
      <c r="C122" s="7" t="inlineStr">
        <is>
          <t>Lead Reports workbook (Drill-down Verification)</t>
        </is>
      </c>
      <c r="D122" s="7" t="inlineStr">
        <is>
          <t>Lead Reports</t>
        </is>
      </c>
      <c r="E122" s="8" t="inlineStr">
        <is>
          <t>REQ-LR-09</t>
        </is>
      </c>
      <c r="F122" s="8" t="n"/>
      <c r="G122" s="7" t="inlineStr">
        <is>
          <t>Yes</t>
        </is>
      </c>
      <c r="H122" s="7" t="inlineStr">
        <is>
          <t>tests/lead-reports/drill-verification.spec.ts</t>
        </is>
      </c>
      <c r="I122" s="8" t="inlineStr">
        <is>
          <t>Pass</t>
        </is>
      </c>
      <c r="J122" s="8" t="n"/>
      <c r="K122" s="7" t="n"/>
    </row>
    <row r="123">
      <c r="A123" s="7" t="inlineStr">
        <is>
          <t>LR-DDV-12</t>
        </is>
      </c>
      <c r="B123" s="7" t="inlineStr">
        <is>
          <t>Drill-down verification: Salesperson Scorecard (every salesperson × every count column)</t>
        </is>
      </c>
      <c r="C123" s="7" t="inlineStr">
        <is>
          <t>Lead Reports workbook (Drill-down Verification)</t>
        </is>
      </c>
      <c r="D123" s="7" t="inlineStr">
        <is>
          <t>Lead Reports</t>
        </is>
      </c>
      <c r="E123" s="8" t="inlineStr">
        <is>
          <t>REQ-LR-09</t>
        </is>
      </c>
      <c r="F123" s="8" t="n"/>
      <c r="G123" s="7" t="inlineStr">
        <is>
          <t>Yes</t>
        </is>
      </c>
      <c r="H123" s="7" t="inlineStr">
        <is>
          <t>tests/lead-reports/drill-verification.spec.ts</t>
        </is>
      </c>
      <c r="I123" s="8" t="inlineStr">
        <is>
          <t>Pass</t>
        </is>
      </c>
      <c r="J123" s="8" t="n"/>
      <c r="K123" s="7" t="n"/>
    </row>
    <row r="124">
      <c r="A124" s="7" t="inlineStr">
        <is>
          <t>LR-DDV-13</t>
        </is>
      </c>
      <c r="B124" s="7" t="inlineStr">
        <is>
          <t>Drill-down verification: A list with a header filter applied (Lead Source)</t>
        </is>
      </c>
      <c r="C124" s="7" t="inlineStr">
        <is>
          <t>Lead Reports workbook (Drill-down Verification)</t>
        </is>
      </c>
      <c r="D124" s="7" t="inlineStr">
        <is>
          <t>Lead Reports</t>
        </is>
      </c>
      <c r="E124" s="8" t="inlineStr">
        <is>
          <t>REQ-LR-09</t>
        </is>
      </c>
      <c r="F124" s="8" t="n"/>
      <c r="G124" s="7" t="inlineStr">
        <is>
          <t>Yes</t>
        </is>
      </c>
      <c r="H124" s="7" t="inlineStr">
        <is>
          <t>tests/lead-reports/drill-verification.spec.ts</t>
        </is>
      </c>
      <c r="I124" s="8" t="inlineStr">
        <is>
          <t>Pass</t>
        </is>
      </c>
      <c r="J124" s="8" t="n"/>
      <c r="K124" s="7" t="n"/>
    </row>
    <row r="125">
      <c r="A125" s="7" t="inlineStr">
        <is>
          <t>LR-147</t>
        </is>
      </c>
      <c r="B125" s="7" t="inlineStr">
        <is>
          <t>Verify All filters together return only records matching every selected filter</t>
        </is>
      </c>
      <c r="C125" s="7" t="inlineStr">
        <is>
          <t>Lead Reports workbook</t>
        </is>
      </c>
      <c r="D125" s="7" t="inlineStr">
        <is>
          <t>Lead Reports</t>
        </is>
      </c>
      <c r="E125" s="8" t="inlineStr">
        <is>
          <t>REQ-LR-04</t>
        </is>
      </c>
      <c r="F125" s="8" t="inlineStr">
        <is>
          <t>High</t>
        </is>
      </c>
      <c r="G125" s="7" t="inlineStr">
        <is>
          <t>Yes</t>
        </is>
      </c>
      <c r="H125" s="7" t="inlineStr">
        <is>
          <t>tests/lead-reports/filter-combinations.spec.ts</t>
        </is>
      </c>
      <c r="I125" s="8" t="inlineStr">
        <is>
          <t>Pass</t>
        </is>
      </c>
      <c r="J125" s="8" t="n"/>
      <c r="K125" s="7" t="n"/>
    </row>
    <row r="126">
      <c r="A126" s="7" t="inlineStr">
        <is>
          <t>LR-148</t>
        </is>
      </c>
      <c r="B126" s="7" t="inlineStr">
        <is>
          <t>Verify changing one filter recalculates all KPI cards and report tables</t>
        </is>
      </c>
      <c r="C126" s="7" t="inlineStr">
        <is>
          <t>Lead Reports workbook</t>
        </is>
      </c>
      <c r="D126" s="7" t="inlineStr">
        <is>
          <t>Lead Reports</t>
        </is>
      </c>
      <c r="E126" s="8" t="inlineStr">
        <is>
          <t>REQ-LR-04</t>
        </is>
      </c>
      <c r="F126" s="8" t="inlineStr">
        <is>
          <t>High</t>
        </is>
      </c>
      <c r="G126" s="7" t="inlineStr">
        <is>
          <t>Yes</t>
        </is>
      </c>
      <c r="H126" s="7" t="inlineStr">
        <is>
          <t>tests/lead-reports/filter-combinations.spec.ts</t>
        </is>
      </c>
      <c r="I126" s="8" t="inlineStr">
        <is>
          <t>Pass</t>
        </is>
      </c>
      <c r="J126" s="8" t="n"/>
      <c r="K126" s="7" t="n"/>
    </row>
    <row r="127">
      <c r="A127" s="7" t="inlineStr">
        <is>
          <t>LR-149</t>
        </is>
      </c>
      <c r="B127" s="7" t="inlineStr">
        <is>
          <t>Verify clearing one selected filter restores only that filter's data while retaining other filters</t>
        </is>
      </c>
      <c r="C127" s="7" t="inlineStr">
        <is>
          <t>Lead Reports workbook</t>
        </is>
      </c>
      <c r="D127" s="7" t="inlineStr">
        <is>
          <t>Lead Reports</t>
        </is>
      </c>
      <c r="E127" s="8" t="inlineStr">
        <is>
          <t>REQ-LR-04</t>
        </is>
      </c>
      <c r="F127" s="8" t="inlineStr">
        <is>
          <t>High</t>
        </is>
      </c>
      <c r="G127" s="7" t="inlineStr">
        <is>
          <t>Yes</t>
        </is>
      </c>
      <c r="H127" s="7" t="inlineStr">
        <is>
          <t>tests/lead-reports/filter-combinations.spec.ts</t>
        </is>
      </c>
      <c r="I127" s="8" t="inlineStr">
        <is>
          <t>Pass</t>
        </is>
      </c>
      <c r="J127" s="8" t="n"/>
      <c r="K127" s="7" t="n"/>
    </row>
    <row r="128">
      <c r="A128" s="7" t="inlineStr">
        <is>
          <t>LR-150</t>
        </is>
      </c>
      <c r="B128" s="7" t="inlineStr">
        <is>
          <t>Verify selecting All for every filter returns the unfiltered report totals</t>
        </is>
      </c>
      <c r="C128" s="7" t="inlineStr">
        <is>
          <t>Lead Reports workbook</t>
        </is>
      </c>
      <c r="D128" s="7" t="inlineStr">
        <is>
          <t>Lead Reports</t>
        </is>
      </c>
      <c r="E128" s="8" t="inlineStr">
        <is>
          <t>REQ-LR-04</t>
        </is>
      </c>
      <c r="F128" s="8" t="inlineStr">
        <is>
          <t>High</t>
        </is>
      </c>
      <c r="G128" s="7" t="inlineStr">
        <is>
          <t>Yes</t>
        </is>
      </c>
      <c r="H128" s="7" t="inlineStr">
        <is>
          <t>tests/lead-reports/filter-combinations.spec.ts</t>
        </is>
      </c>
      <c r="I128" s="8" t="inlineStr">
        <is>
          <t>Pass</t>
        </is>
      </c>
      <c r="J128" s="8" t="n"/>
      <c r="K128" s="7" t="n"/>
    </row>
    <row r="129">
      <c r="A129" s="7" t="inlineStr">
        <is>
          <t>LR-151</t>
        </is>
      </c>
      <c r="B129" s="7" t="inlineStr">
        <is>
          <t>Verify filter results contain no records outside the selected filter criteria</t>
        </is>
      </c>
      <c r="C129" s="7" t="inlineStr">
        <is>
          <t>Lead Reports workbook</t>
        </is>
      </c>
      <c r="D129" s="7" t="inlineStr">
        <is>
          <t>Lead Reports</t>
        </is>
      </c>
      <c r="E129" s="8" t="inlineStr">
        <is>
          <t>REQ-LR-04</t>
        </is>
      </c>
      <c r="F129" s="8" t="inlineStr">
        <is>
          <t>High</t>
        </is>
      </c>
      <c r="G129" s="7" t="inlineStr">
        <is>
          <t>Yes</t>
        </is>
      </c>
      <c r="H129" s="7" t="inlineStr">
        <is>
          <t>tests/lead-reports/filter-combinations.spec.ts</t>
        </is>
      </c>
      <c r="I129" s="8" t="inlineStr">
        <is>
          <t>Pass</t>
        </is>
      </c>
      <c r="J129" s="8" t="n"/>
      <c r="K129" s="7" t="n"/>
    </row>
    <row r="130">
      <c r="A130" s="7" t="inlineStr">
        <is>
          <t>LR-152</t>
        </is>
      </c>
      <c r="B130" s="7" t="inlineStr">
        <is>
          <t>Verify filters work correctly when the selected combination returns exactly one lead</t>
        </is>
      </c>
      <c r="C130" s="7" t="inlineStr">
        <is>
          <t>Lead Reports workbook</t>
        </is>
      </c>
      <c r="D130" s="7" t="inlineStr">
        <is>
          <t>Lead Reports</t>
        </is>
      </c>
      <c r="E130" s="8" t="inlineStr">
        <is>
          <t>REQ-LR-04</t>
        </is>
      </c>
      <c r="F130" s="8" t="inlineStr">
        <is>
          <t>Medium</t>
        </is>
      </c>
      <c r="G130" s="7" t="inlineStr">
        <is>
          <t>Yes</t>
        </is>
      </c>
      <c r="H130" s="7" t="inlineStr">
        <is>
          <t>tests/lead-reports/filter-combinations.spec.ts</t>
        </is>
      </c>
      <c r="I130" s="8" t="inlineStr">
        <is>
          <t>Pass</t>
        </is>
      </c>
      <c r="J130" s="8" t="n"/>
      <c r="K130" s="7" t="n"/>
    </row>
    <row r="131">
      <c r="A131" s="7" t="inlineStr">
        <is>
          <t>LR-153</t>
        </is>
      </c>
      <c r="B131" s="7" t="inlineStr">
        <is>
          <t>Verify filters work correctly when no records match the selected combination</t>
        </is>
      </c>
      <c r="C131" s="7" t="inlineStr">
        <is>
          <t>Lead Reports workbook</t>
        </is>
      </c>
      <c r="D131" s="7" t="inlineStr">
        <is>
          <t>Lead Reports</t>
        </is>
      </c>
      <c r="E131" s="8" t="inlineStr">
        <is>
          <t>REQ-LR-04</t>
        </is>
      </c>
      <c r="F131" s="8" t="inlineStr">
        <is>
          <t>High</t>
        </is>
      </c>
      <c r="G131" s="7" t="inlineStr">
        <is>
          <t>Yes</t>
        </is>
      </c>
      <c r="H131" s="7" t="inlineStr">
        <is>
          <t>tests/lead-reports/filter-combinations.spec.ts</t>
        </is>
      </c>
      <c r="I131" s="8" t="inlineStr">
        <is>
          <t>Pass</t>
        </is>
      </c>
      <c r="J131" s="8" t="n"/>
      <c r="K131" s="7" t="n"/>
    </row>
    <row r="132">
      <c r="A132" s="7" t="inlineStr">
        <is>
          <t>LR-154</t>
        </is>
      </c>
      <c r="B132" s="7" t="inlineStr">
        <is>
          <t>Verify filter values containing NULL/blank/Unspecified records are handled correctly</t>
        </is>
      </c>
      <c r="C132" s="7" t="inlineStr">
        <is>
          <t>Lead Reports workbook</t>
        </is>
      </c>
      <c r="D132" s="7" t="inlineStr">
        <is>
          <t>Lead Reports</t>
        </is>
      </c>
      <c r="E132" s="8" t="inlineStr">
        <is>
          <t>REQ-LR-04</t>
        </is>
      </c>
      <c r="F132" s="8" t="inlineStr">
        <is>
          <t>High</t>
        </is>
      </c>
      <c r="G132" s="7" t="inlineStr">
        <is>
          <t>Yes</t>
        </is>
      </c>
      <c r="H132" s="7" t="inlineStr">
        <is>
          <t>tests/lead-reports/filter-combinations.spec.ts</t>
        </is>
      </c>
      <c r="I132" s="8" t="inlineStr">
        <is>
          <t>Pass</t>
        </is>
      </c>
      <c r="J132" s="8" t="n"/>
      <c r="K132" s="7" t="n"/>
    </row>
    <row r="133">
      <c r="A133" s="7" t="inlineStr">
        <is>
          <t>LR-155</t>
        </is>
      </c>
      <c r="B133" s="7" t="inlineStr">
        <is>
          <t>Verify filters remain consistent when switching between report tabs</t>
        </is>
      </c>
      <c r="C133" s="7" t="inlineStr">
        <is>
          <t>Lead Reports workbook</t>
        </is>
      </c>
      <c r="D133" s="7" t="inlineStr">
        <is>
          <t>Lead Reports</t>
        </is>
      </c>
      <c r="E133" s="8" t="inlineStr">
        <is>
          <t>REQ-LR-04</t>
        </is>
      </c>
      <c r="F133" s="8" t="inlineStr">
        <is>
          <t>High</t>
        </is>
      </c>
      <c r="G133" s="7" t="inlineStr">
        <is>
          <t>Yes</t>
        </is>
      </c>
      <c r="H133" s="7" t="inlineStr">
        <is>
          <t>tests/lead-reports/filter-combinations.spec.ts</t>
        </is>
      </c>
      <c r="I133" s="8" t="inlineStr">
        <is>
          <t>Pass</t>
        </is>
      </c>
      <c r="J133" s="8" t="n"/>
      <c r="K133" s="7" t="n"/>
    </row>
    <row r="134">
      <c r="A134" s="7" t="inlineStr">
        <is>
          <t>LR-156</t>
        </is>
      </c>
      <c r="B134" s="7" t="inlineStr">
        <is>
          <t>Verify filter values themselves are populated with the correct available master-data values</t>
        </is>
      </c>
      <c r="C134" s="7" t="inlineStr">
        <is>
          <t>Lead Reports workbook</t>
        </is>
      </c>
      <c r="D134" s="7" t="inlineStr">
        <is>
          <t>Lead Reports</t>
        </is>
      </c>
      <c r="E134" s="8" t="inlineStr">
        <is>
          <t>REQ-LR-04</t>
        </is>
      </c>
      <c r="F134" s="8" t="inlineStr">
        <is>
          <t>High</t>
        </is>
      </c>
      <c r="G134" s="7" t="inlineStr">
        <is>
          <t>Yes</t>
        </is>
      </c>
      <c r="H134" s="7" t="inlineStr">
        <is>
          <t>tests/lead-reports/filter-combinations.spec.ts</t>
        </is>
      </c>
      <c r="I134" s="8" t="inlineStr">
        <is>
          <t>Fail</t>
        </is>
      </c>
      <c r="J134" s="8" t="inlineStr">
        <is>
          <t>DEF-17</t>
        </is>
      </c>
      <c r="K134" s="7" t="inlineStr">
        <is>
          <t>Error: Salesperson: duplicate labels</t>
        </is>
      </c>
    </row>
    <row r="135">
      <c r="A135" s="7" t="inlineStr">
        <is>
          <t>LR-157</t>
        </is>
      </c>
      <c r="B135" s="7" t="inlineStr">
        <is>
          <t>Apply each filter and verify the Overview counts equal that value's row in Performance by &lt;field&gt;</t>
        </is>
      </c>
      <c r="C135" s="7" t="inlineStr">
        <is>
          <t>Lead Reports workbook</t>
        </is>
      </c>
      <c r="D135" s="7" t="inlineStr">
        <is>
          <t>Lead Reports</t>
        </is>
      </c>
      <c r="E135" s="8" t="inlineStr">
        <is>
          <t>REQ-LR-05</t>
        </is>
      </c>
      <c r="F135" s="8" t="inlineStr">
        <is>
          <t>High</t>
        </is>
      </c>
      <c r="G135" s="7" t="inlineStr">
        <is>
          <t>Yes</t>
        </is>
      </c>
      <c r="H135" s="7" t="inlineStr">
        <is>
          <t>tests/lead-reports/filter-counts.spec.ts</t>
        </is>
      </c>
      <c r="I135" s="8" t="inlineStr">
        <is>
          <t>Pass</t>
        </is>
      </c>
      <c r="J135" s="8" t="n"/>
      <c r="K135" s="7" t="n"/>
    </row>
    <row r="136">
      <c r="A136" s="7" t="inlineStr">
        <is>
          <t>LR-158</t>
        </is>
      </c>
      <c r="B136" s="7" t="inlineStr">
        <is>
          <t>Apply each filter and verify the rate cards are recalculated from the filtered counts</t>
        </is>
      </c>
      <c r="C136" s="7" t="inlineStr">
        <is>
          <t>Lead Reports workbook</t>
        </is>
      </c>
      <c r="D136" s="7" t="inlineStr">
        <is>
          <t>Lead Reports</t>
        </is>
      </c>
      <c r="E136" s="8" t="inlineStr">
        <is>
          <t>REQ-LR-05</t>
        </is>
      </c>
      <c r="F136" s="8" t="inlineStr">
        <is>
          <t>High</t>
        </is>
      </c>
      <c r="G136" s="7" t="inlineStr">
        <is>
          <t>Yes</t>
        </is>
      </c>
      <c r="H136" s="7" t="inlineStr">
        <is>
          <t>tests/lead-reports/filter-counts.spec.ts</t>
        </is>
      </c>
      <c r="I136" s="8" t="inlineStr">
        <is>
          <t>Pass</t>
        </is>
      </c>
      <c r="J136" s="8" t="n"/>
      <c r="K136" s="7" t="n"/>
    </row>
    <row r="137">
      <c r="A137" s="7" t="inlineStr">
        <is>
          <t>LR-159</t>
        </is>
      </c>
      <c r="B137" s="7" t="inlineStr">
        <is>
          <t>Apply each filter and verify each count card opens a list with that many leads, all matching the filter</t>
        </is>
      </c>
      <c r="C137" s="7" t="inlineStr">
        <is>
          <t>Lead Reports workbook</t>
        </is>
      </c>
      <c r="D137" s="7" t="inlineStr">
        <is>
          <t>Lead Reports</t>
        </is>
      </c>
      <c r="E137" s="8" t="inlineStr">
        <is>
          <t>REQ-LR-05</t>
        </is>
      </c>
      <c r="F137" s="8" t="inlineStr">
        <is>
          <t>High</t>
        </is>
      </c>
      <c r="G137" s="7" t="inlineStr">
        <is>
          <t>Yes</t>
        </is>
      </c>
      <c r="H137" s="7" t="inlineStr">
        <is>
          <t>tests/lead-reports/filter-counts.spec.ts</t>
        </is>
      </c>
      <c r="I137" s="8" t="inlineStr">
        <is>
          <t>Pass</t>
        </is>
      </c>
      <c r="J137" s="8" t="n"/>
      <c r="K137" s="7" t="n"/>
    </row>
    <row r="138">
      <c r="A138" s="7" t="inlineStr">
        <is>
          <t>LR-160</t>
        </is>
      </c>
      <c r="B138" s="7" t="inlineStr">
        <is>
          <t>Apply each filter and verify Data Completeness and the 12-Month Trend follow the filter</t>
        </is>
      </c>
      <c r="C138" s="7" t="inlineStr">
        <is>
          <t>Lead Reports workbook</t>
        </is>
      </c>
      <c r="D138" s="7" t="inlineStr">
        <is>
          <t>Lead Reports</t>
        </is>
      </c>
      <c r="E138" s="8" t="inlineStr">
        <is>
          <t>REQ-LR-05</t>
        </is>
      </c>
      <c r="F138" s="8" t="inlineStr">
        <is>
          <t>Medium</t>
        </is>
      </c>
      <c r="G138" s="7" t="inlineStr">
        <is>
          <t>Yes</t>
        </is>
      </c>
      <c r="H138" s="7" t="inlineStr">
        <is>
          <t>tests/lead-reports/filter-counts.spec.ts</t>
        </is>
      </c>
      <c r="I138" s="8" t="inlineStr">
        <is>
          <t>Pass</t>
        </is>
      </c>
      <c r="J138" s="8" t="n"/>
      <c r="K138" s="7" t="n"/>
    </row>
    <row r="139">
      <c r="A139" s="7" t="inlineStr">
        <is>
          <t>LR-161</t>
        </is>
      </c>
      <c r="B139" s="7" t="inlineStr">
        <is>
          <t>Apply each filter and verify every Source &amp; Channel grouping totals to the filtered counts</t>
        </is>
      </c>
      <c r="C139" s="7" t="inlineStr">
        <is>
          <t>Lead Reports workbook</t>
        </is>
      </c>
      <c r="D139" s="7" t="inlineStr">
        <is>
          <t>Lead Reports</t>
        </is>
      </c>
      <c r="E139" s="8" t="inlineStr">
        <is>
          <t>REQ-LR-05</t>
        </is>
      </c>
      <c r="F139" s="8" t="inlineStr">
        <is>
          <t>High</t>
        </is>
      </c>
      <c r="G139" s="7" t="inlineStr">
        <is>
          <t>Yes</t>
        </is>
      </c>
      <c r="H139" s="7" t="inlineStr">
        <is>
          <t>tests/lead-reports/filter-counts.spec.ts</t>
        </is>
      </c>
      <c r="I139" s="8" t="inlineStr">
        <is>
          <t>Pass</t>
        </is>
      </c>
      <c r="J139" s="8" t="n"/>
      <c r="K139" s="7" t="n"/>
    </row>
    <row r="140">
      <c r="A140" s="7" t="inlineStr">
        <is>
          <t>LR-162</t>
        </is>
      </c>
      <c r="B140" s="7" t="inlineStr">
        <is>
          <t>Apply each filter and verify the Aging &amp; Follow-up counts</t>
        </is>
      </c>
      <c r="C140" s="7" t="inlineStr">
        <is>
          <t>Lead Reports workbook</t>
        </is>
      </c>
      <c r="D140" s="7" t="inlineStr">
        <is>
          <t>Lead Reports</t>
        </is>
      </c>
      <c r="E140" s="8" t="inlineStr">
        <is>
          <t>REQ-LR-05</t>
        </is>
      </c>
      <c r="F140" s="8" t="inlineStr">
        <is>
          <t>High</t>
        </is>
      </c>
      <c r="G140" s="7" t="inlineStr">
        <is>
          <t>Yes</t>
        </is>
      </c>
      <c r="H140" s="7" t="inlineStr">
        <is>
          <t>tests/lead-reports/filter-counts.spec.ts</t>
        </is>
      </c>
      <c r="I140" s="8" t="inlineStr">
        <is>
          <t>Pass</t>
        </is>
      </c>
      <c r="J140" s="8" t="n"/>
      <c r="K140" s="7" t="n"/>
    </row>
    <row r="141">
      <c r="A141" s="7" t="inlineStr">
        <is>
          <t>LR-163</t>
        </is>
      </c>
      <c r="B141" s="7" t="inlineStr">
        <is>
          <t>Apply each filter and verify the Qualification &amp; Conversion counts</t>
        </is>
      </c>
      <c r="C141" s="7" t="inlineStr">
        <is>
          <t>Lead Reports workbook</t>
        </is>
      </c>
      <c r="D141" s="7" t="inlineStr">
        <is>
          <t>Lead Reports</t>
        </is>
      </c>
      <c r="E141" s="8" t="inlineStr">
        <is>
          <t>REQ-LR-05</t>
        </is>
      </c>
      <c r="F141" s="8" t="inlineStr">
        <is>
          <t>High</t>
        </is>
      </c>
      <c r="G141" s="7" t="inlineStr">
        <is>
          <t>Yes</t>
        </is>
      </c>
      <c r="H141" s="7" t="inlineStr">
        <is>
          <t>tests/lead-reports/filter-counts.spec.ts</t>
        </is>
      </c>
      <c r="I141" s="8" t="inlineStr">
        <is>
          <t>Pass</t>
        </is>
      </c>
      <c r="J141" s="8" t="n"/>
      <c r="K141" s="7" t="n"/>
    </row>
    <row r="142">
      <c r="A142" s="7" t="inlineStr">
        <is>
          <t>LR-164</t>
        </is>
      </c>
      <c r="B142" s="7" t="inlineStr">
        <is>
          <t>Apply each filter and verify the Salesperson Scorecard totals</t>
        </is>
      </c>
      <c r="C142" s="7" t="inlineStr">
        <is>
          <t>Lead Reports workbook</t>
        </is>
      </c>
      <c r="D142" s="7" t="inlineStr">
        <is>
          <t>Lead Reports</t>
        </is>
      </c>
      <c r="E142" s="8" t="inlineStr">
        <is>
          <t>REQ-LR-05</t>
        </is>
      </c>
      <c r="F142" s="8" t="inlineStr">
        <is>
          <t>High</t>
        </is>
      </c>
      <c r="G142" s="7" t="inlineStr">
        <is>
          <t>Yes</t>
        </is>
      </c>
      <c r="H142" s="7" t="inlineStr">
        <is>
          <t>tests/lead-reports/filter-counts.spec.ts</t>
        </is>
      </c>
      <c r="I142" s="8" t="inlineStr">
        <is>
          <t>Pass</t>
        </is>
      </c>
      <c r="J142" s="8" t="n"/>
      <c r="K142" s="7" t="n"/>
    </row>
    <row r="143">
      <c r="A143" s="7" t="inlineStr">
        <is>
          <t>LR-165</t>
        </is>
      </c>
      <c r="B143" s="7" t="inlineStr">
        <is>
          <t>Apply every value of each filter in turn and verify the filtered counts add up to the unfiltered total</t>
        </is>
      </c>
      <c r="C143" s="7" t="inlineStr">
        <is>
          <t>Lead Reports workbook</t>
        </is>
      </c>
      <c r="D143" s="7" t="inlineStr">
        <is>
          <t>Lead Reports</t>
        </is>
      </c>
      <c r="E143" s="8" t="inlineStr">
        <is>
          <t>REQ-LR-05</t>
        </is>
      </c>
      <c r="F143" s="8" t="inlineStr">
        <is>
          <t>High</t>
        </is>
      </c>
      <c r="G143" s="7" t="inlineStr">
        <is>
          <t>Yes</t>
        </is>
      </c>
      <c r="H143" s="7" t="inlineStr">
        <is>
          <t>tests/lead-reports/filter-counts.spec.ts</t>
        </is>
      </c>
      <c r="I143" s="8" t="inlineStr">
        <is>
          <t>Fail</t>
        </is>
      </c>
      <c r="J143" s="8" t="inlineStr">
        <is>
          <t>DEF-17</t>
        </is>
      </c>
      <c r="K143" s="7" t="inlineStr">
        <is>
          <t>Error: Project: the values add up to Total − Unspecified</t>
        </is>
      </c>
    </row>
    <row r="144">
      <c r="A144" s="7" t="inlineStr">
        <is>
          <t>LR-166</t>
        </is>
      </c>
      <c r="B144" s="7" t="inlineStr">
        <is>
          <t>Apply each filter with the period "This month" and verify the counts equal that value's row</t>
        </is>
      </c>
      <c r="C144" s="7" t="inlineStr">
        <is>
          <t>Lead Reports workbook</t>
        </is>
      </c>
      <c r="D144" s="7" t="inlineStr">
        <is>
          <t>Lead Reports</t>
        </is>
      </c>
      <c r="E144" s="8" t="inlineStr">
        <is>
          <t>REQ-LR-05</t>
        </is>
      </c>
      <c r="F144" s="8" t="inlineStr">
        <is>
          <t>Medium</t>
        </is>
      </c>
      <c r="G144" s="7" t="inlineStr">
        <is>
          <t>Yes</t>
        </is>
      </c>
      <c r="H144" s="7" t="inlineStr">
        <is>
          <t>tests/lead-reports/filter-counts.spec.ts</t>
        </is>
      </c>
      <c r="I144" s="8" t="inlineStr">
        <is>
          <t>Pass</t>
        </is>
      </c>
      <c r="J144" s="8" t="n"/>
      <c r="K144" s="7" t="n"/>
    </row>
    <row r="145">
      <c r="A145" s="7" t="inlineStr">
        <is>
          <t>LR-016</t>
        </is>
      </c>
      <c r="B145" s="7" t="inlineStr">
        <is>
          <t>Period dropdown lists all periods</t>
        </is>
      </c>
      <c r="C145" s="7" t="inlineStr">
        <is>
          <t>Lead Reports workbook</t>
        </is>
      </c>
      <c r="D145" s="7" t="inlineStr">
        <is>
          <t>Lead Reports</t>
        </is>
      </c>
      <c r="E145" s="8" t="inlineStr">
        <is>
          <t>REQ-LR-02</t>
        </is>
      </c>
      <c r="F145" s="8" t="inlineStr">
        <is>
          <t>Medium</t>
        </is>
      </c>
      <c r="G145" s="7" t="inlineStr">
        <is>
          <t>Yes</t>
        </is>
      </c>
      <c r="H145" s="7" t="inlineStr">
        <is>
          <t>tests/lead-reports/filters-views.spec.ts</t>
        </is>
      </c>
      <c r="I145" s="8" t="inlineStr">
        <is>
          <t>Pass</t>
        </is>
      </c>
      <c r="J145" s="8" t="n"/>
      <c r="K145" s="7" t="n"/>
    </row>
    <row r="146">
      <c r="A146" s="7" t="inlineStr">
        <is>
          <t>LR-017</t>
        </is>
      </c>
      <c r="B146" s="7" t="inlineStr">
        <is>
          <t>Default period is "This month"</t>
        </is>
      </c>
      <c r="C146" s="7" t="inlineStr">
        <is>
          <t>Lead Reports workbook</t>
        </is>
      </c>
      <c r="D146" s="7" t="inlineStr">
        <is>
          <t>Lead Reports</t>
        </is>
      </c>
      <c r="E146" s="8" t="inlineStr">
        <is>
          <t>REQ-LR-02</t>
        </is>
      </c>
      <c r="F146" s="8" t="inlineStr">
        <is>
          <t>High</t>
        </is>
      </c>
      <c r="G146" s="7" t="inlineStr">
        <is>
          <t>Yes</t>
        </is>
      </c>
      <c r="H146" s="7" t="inlineStr">
        <is>
          <t>tests/lead-reports/filters-views.spec.ts</t>
        </is>
      </c>
      <c r="I146" s="8" t="inlineStr">
        <is>
          <t>Fail</t>
        </is>
      </c>
      <c r="J146" s="8" t="inlineStr">
        <is>
          <t>DEF-01</t>
        </is>
      </c>
      <c r="K146" s="7" t="inlineStr">
        <is>
          <t>Error: Default period</t>
        </is>
      </c>
    </row>
    <row r="147">
      <c r="A147" s="7" t="inlineStr">
        <is>
          <t>LR-018</t>
        </is>
      </c>
      <c r="B147" s="7" t="inlineStr">
        <is>
          <t>Each period reloads the report</t>
        </is>
      </c>
      <c r="C147" s="7" t="inlineStr">
        <is>
          <t>Lead Reports workbook</t>
        </is>
      </c>
      <c r="D147" s="7" t="inlineStr">
        <is>
          <t>Lead Reports</t>
        </is>
      </c>
      <c r="E147" s="8" t="inlineStr">
        <is>
          <t>REQ-LR-02</t>
        </is>
      </c>
      <c r="F147" s="8" t="inlineStr">
        <is>
          <t>High</t>
        </is>
      </c>
      <c r="G147" s="7" t="inlineStr">
        <is>
          <t>Yes</t>
        </is>
      </c>
      <c r="H147" s="7" t="inlineStr">
        <is>
          <t>tests/lead-reports/filters-views.spec.ts</t>
        </is>
      </c>
      <c r="I147" s="8" t="inlineStr">
        <is>
          <t>Pass</t>
        </is>
      </c>
      <c r="J147" s="8" t="n"/>
      <c r="K147" s="7" t="n"/>
    </row>
    <row r="148">
      <c r="A148" s="7" t="inlineStr">
        <is>
          <t>LR-019</t>
        </is>
      </c>
      <c r="B148" s="7" t="inlineStr">
        <is>
          <t>Custom dates shows From and To</t>
        </is>
      </c>
      <c r="C148" s="7" t="inlineStr">
        <is>
          <t>Lead Reports workbook</t>
        </is>
      </c>
      <c r="D148" s="7" t="inlineStr">
        <is>
          <t>Lead Reports</t>
        </is>
      </c>
      <c r="E148" s="8" t="inlineStr">
        <is>
          <t>REQ-LR-02</t>
        </is>
      </c>
      <c r="F148" s="8" t="inlineStr">
        <is>
          <t>Medium</t>
        </is>
      </c>
      <c r="G148" s="7" t="inlineStr">
        <is>
          <t>Yes</t>
        </is>
      </c>
      <c r="H148" s="7" t="inlineStr">
        <is>
          <t>tests/lead-reports/filters-views.spec.ts</t>
        </is>
      </c>
      <c r="I148" s="8" t="inlineStr">
        <is>
          <t>Pass</t>
        </is>
      </c>
      <c r="J148" s="8" t="n"/>
      <c r="K148" s="7" t="n"/>
    </row>
    <row r="149">
      <c r="A149" s="7" t="inlineStr">
        <is>
          <t>LR-020</t>
        </is>
      </c>
      <c r="B149" s="7" t="inlineStr">
        <is>
          <t>A valid custom range reloads the report</t>
        </is>
      </c>
      <c r="C149" s="7" t="inlineStr">
        <is>
          <t>Lead Reports workbook</t>
        </is>
      </c>
      <c r="D149" s="7" t="inlineStr">
        <is>
          <t>Lead Reports</t>
        </is>
      </c>
      <c r="E149" s="8" t="inlineStr">
        <is>
          <t>REQ-LR-02</t>
        </is>
      </c>
      <c r="F149" s="8" t="inlineStr">
        <is>
          <t>High</t>
        </is>
      </c>
      <c r="G149" s="7" t="inlineStr">
        <is>
          <t>Yes</t>
        </is>
      </c>
      <c r="H149" s="7" t="inlineStr">
        <is>
          <t>tests/lead-reports/filters-views.spec.ts</t>
        </is>
      </c>
      <c r="I149" s="8" t="inlineStr">
        <is>
          <t>Pass</t>
        </is>
      </c>
      <c r="J149" s="8" t="n"/>
      <c r="K149" s="7" t="n"/>
    </row>
    <row r="150">
      <c r="A150" s="7" t="inlineStr">
        <is>
          <t>LR-021</t>
        </is>
      </c>
      <c r="B150" s="7" t="inlineStr">
        <is>
          <t>From later than To is rejected with a message</t>
        </is>
      </c>
      <c r="C150" s="7" t="inlineStr">
        <is>
          <t>Lead Reports workbook</t>
        </is>
      </c>
      <c r="D150" s="7" t="inlineStr">
        <is>
          <t>Lead Reports</t>
        </is>
      </c>
      <c r="E150" s="8" t="inlineStr">
        <is>
          <t>REQ-LR-02</t>
        </is>
      </c>
      <c r="F150" s="8" t="inlineStr">
        <is>
          <t>Medium</t>
        </is>
      </c>
      <c r="G150" s="7" t="inlineStr">
        <is>
          <t>Yes</t>
        </is>
      </c>
      <c r="H150" s="7" t="inlineStr">
        <is>
          <t>tests/lead-reports/filters-views.spec.ts</t>
        </is>
      </c>
      <c r="I150" s="8" t="inlineStr">
        <is>
          <t>Pass</t>
        </is>
      </c>
      <c r="J150" s="8" t="n"/>
      <c r="K150" s="7" t="n"/>
    </row>
    <row r="151">
      <c r="A151" s="7" t="inlineStr">
        <is>
          <t>LR-022</t>
        </is>
      </c>
      <c r="B151" s="7" t="inlineStr">
        <is>
          <t>A range with no data shows zeros</t>
        </is>
      </c>
      <c r="C151" s="7" t="inlineStr">
        <is>
          <t>Lead Reports workbook</t>
        </is>
      </c>
      <c r="D151" s="7" t="inlineStr">
        <is>
          <t>Lead Reports</t>
        </is>
      </c>
      <c r="E151" s="8" t="inlineStr">
        <is>
          <t>REQ-LR-02</t>
        </is>
      </c>
      <c r="F151" s="8" t="inlineStr">
        <is>
          <t>Medium</t>
        </is>
      </c>
      <c r="G151" s="7" t="inlineStr">
        <is>
          <t>Yes</t>
        </is>
      </c>
      <c r="H151" s="7" t="inlineStr">
        <is>
          <t>tests/lead-reports/filters-views.spec.ts</t>
        </is>
      </c>
      <c r="I151" s="8" t="inlineStr">
        <is>
          <t>Pass</t>
        </is>
      </c>
      <c r="J151" s="8" t="n"/>
      <c r="K151" s="7" t="n"/>
    </row>
    <row r="152">
      <c r="A152" s="7" t="inlineStr">
        <is>
          <t>LR-023</t>
        </is>
      </c>
      <c r="B152" s="7" t="inlineStr">
        <is>
          <t>"Project" filter narrows the report</t>
        </is>
      </c>
      <c r="C152" s="7" t="inlineStr">
        <is>
          <t>Lead Reports workbook</t>
        </is>
      </c>
      <c r="D152" s="7" t="inlineStr">
        <is>
          <t>Lead Reports</t>
        </is>
      </c>
      <c r="E152" s="8" t="inlineStr">
        <is>
          <t>REQ-LR-03</t>
        </is>
      </c>
      <c r="F152" s="8" t="inlineStr">
        <is>
          <t>Medium</t>
        </is>
      </c>
      <c r="G152" s="7" t="inlineStr">
        <is>
          <t>Yes</t>
        </is>
      </c>
      <c r="H152" s="7" t="inlineStr">
        <is>
          <t>tests/lead-reports/filters-views.spec.ts</t>
        </is>
      </c>
      <c r="I152" s="8" t="inlineStr">
        <is>
          <t>Pass</t>
        </is>
      </c>
      <c r="J152" s="8" t="n"/>
      <c r="K152" s="7" t="n"/>
    </row>
    <row r="153">
      <c r="A153" s="7" t="inlineStr">
        <is>
          <t>LR-024</t>
        </is>
      </c>
      <c r="B153" s="7" t="inlineStr">
        <is>
          <t>"Lead Source" filter narrows the report</t>
        </is>
      </c>
      <c r="C153" s="7" t="inlineStr">
        <is>
          <t>Lead Reports workbook</t>
        </is>
      </c>
      <c r="D153" s="7" t="inlineStr">
        <is>
          <t>Lead Reports</t>
        </is>
      </c>
      <c r="E153" s="8" t="inlineStr">
        <is>
          <t>REQ-LR-03</t>
        </is>
      </c>
      <c r="F153" s="8" t="inlineStr">
        <is>
          <t>High</t>
        </is>
      </c>
      <c r="G153" s="7" t="inlineStr">
        <is>
          <t>Yes</t>
        </is>
      </c>
      <c r="H153" s="7" t="inlineStr">
        <is>
          <t>tests/lead-reports/filters-views.spec.ts</t>
        </is>
      </c>
      <c r="I153" s="8" t="inlineStr">
        <is>
          <t>Pass</t>
        </is>
      </c>
      <c r="J153" s="8" t="n"/>
      <c r="K153" s="7" t="n"/>
    </row>
    <row r="154">
      <c r="A154" s="7" t="inlineStr">
        <is>
          <t>LR-025</t>
        </is>
      </c>
      <c r="B154" s="7" t="inlineStr">
        <is>
          <t>"Capture Channel" filter narrows the report</t>
        </is>
      </c>
      <c r="C154" s="7" t="inlineStr">
        <is>
          <t>Lead Reports workbook</t>
        </is>
      </c>
      <c r="D154" s="7" t="inlineStr">
        <is>
          <t>Lead Reports</t>
        </is>
      </c>
      <c r="E154" s="8" t="inlineStr">
        <is>
          <t>REQ-LR-03</t>
        </is>
      </c>
      <c r="F154" s="8" t="inlineStr">
        <is>
          <t>Medium</t>
        </is>
      </c>
      <c r="G154" s="7" t="inlineStr">
        <is>
          <t>Yes</t>
        </is>
      </c>
      <c r="H154" s="7" t="inlineStr">
        <is>
          <t>tests/lead-reports/filters-views.spec.ts</t>
        </is>
      </c>
      <c r="I154" s="8" t="inlineStr">
        <is>
          <t>Pass</t>
        </is>
      </c>
      <c r="J154" s="8" t="n"/>
      <c r="K154" s="7" t="n"/>
    </row>
    <row r="155">
      <c r="A155" s="7" t="inlineStr">
        <is>
          <t>LR-026</t>
        </is>
      </c>
      <c r="B155" s="7" t="inlineStr">
        <is>
          <t>"Campaign" filter narrows the report</t>
        </is>
      </c>
      <c r="C155" s="7" t="inlineStr">
        <is>
          <t>Lead Reports workbook</t>
        </is>
      </c>
      <c r="D155" s="7" t="inlineStr">
        <is>
          <t>Lead Reports</t>
        </is>
      </c>
      <c r="E155" s="8" t="inlineStr">
        <is>
          <t>REQ-LR-03</t>
        </is>
      </c>
      <c r="F155" s="8" t="inlineStr">
        <is>
          <t>Medium</t>
        </is>
      </c>
      <c r="G155" s="7" t="inlineStr">
        <is>
          <t>Yes</t>
        </is>
      </c>
      <c r="H155" s="7" t="inlineStr">
        <is>
          <t>tests/lead-reports/filters-views.spec.ts</t>
        </is>
      </c>
      <c r="I155" s="8" t="inlineStr">
        <is>
          <t>Pass</t>
        </is>
      </c>
      <c r="J155" s="8" t="n"/>
      <c r="K155" s="7" t="n"/>
    </row>
    <row r="156">
      <c r="A156" s="7" t="inlineStr">
        <is>
          <t>LR-027</t>
        </is>
      </c>
      <c r="B156" s="7" t="inlineStr">
        <is>
          <t>"Broker" filter narrows the report</t>
        </is>
      </c>
      <c r="C156" s="7" t="inlineStr">
        <is>
          <t>Lead Reports workbook</t>
        </is>
      </c>
      <c r="D156" s="7" t="inlineStr">
        <is>
          <t>Lead Reports</t>
        </is>
      </c>
      <c r="E156" s="8" t="inlineStr">
        <is>
          <t>REQ-LR-03</t>
        </is>
      </c>
      <c r="F156" s="8" t="inlineStr">
        <is>
          <t>Medium</t>
        </is>
      </c>
      <c r="G156" s="7" t="inlineStr">
        <is>
          <t>Yes</t>
        </is>
      </c>
      <c r="H156" s="7" t="inlineStr">
        <is>
          <t>tests/lead-reports/filters-views.spec.ts</t>
        </is>
      </c>
      <c r="I156" s="8" t="inlineStr">
        <is>
          <t>Pass</t>
        </is>
      </c>
      <c r="J156" s="8" t="n"/>
      <c r="K156" s="7" t="n"/>
    </row>
    <row r="157">
      <c r="A157" s="7" t="inlineStr">
        <is>
          <t>LR-028</t>
        </is>
      </c>
      <c r="B157" s="7" t="inlineStr">
        <is>
          <t>"Salesperson" filter narrows the report</t>
        </is>
      </c>
      <c r="C157" s="7" t="inlineStr">
        <is>
          <t>Lead Reports workbook</t>
        </is>
      </c>
      <c r="D157" s="7" t="inlineStr">
        <is>
          <t>Lead Reports</t>
        </is>
      </c>
      <c r="E157" s="8" t="inlineStr">
        <is>
          <t>REQ-LR-03</t>
        </is>
      </c>
      <c r="F157" s="8" t="inlineStr">
        <is>
          <t>High</t>
        </is>
      </c>
      <c r="G157" s="7" t="inlineStr">
        <is>
          <t>Yes</t>
        </is>
      </c>
      <c r="H157" s="7" t="inlineStr">
        <is>
          <t>tests/lead-reports/filters-views.spec.ts</t>
        </is>
      </c>
      <c r="I157" s="8" t="inlineStr">
        <is>
          <t>Pass</t>
        </is>
      </c>
      <c r="J157" s="8" t="n"/>
      <c r="K157" s="7" t="n"/>
    </row>
    <row r="158">
      <c r="A158" s="7" t="inlineStr">
        <is>
          <t>LR-029</t>
        </is>
      </c>
      <c r="B158" s="7" t="inlineStr">
        <is>
          <t>"Prospect Type" filter narrows the report</t>
        </is>
      </c>
      <c r="C158" s="7" t="inlineStr">
        <is>
          <t>Lead Reports workbook</t>
        </is>
      </c>
      <c r="D158" s="7" t="inlineStr">
        <is>
          <t>Lead Reports</t>
        </is>
      </c>
      <c r="E158" s="8" t="inlineStr">
        <is>
          <t>REQ-LR-03</t>
        </is>
      </c>
      <c r="F158" s="8" t="inlineStr">
        <is>
          <t>Medium</t>
        </is>
      </c>
      <c r="G158" s="7" t="inlineStr">
        <is>
          <t>Yes</t>
        </is>
      </c>
      <c r="H158" s="7" t="inlineStr">
        <is>
          <t>tests/lead-reports/filters-views.spec.ts</t>
        </is>
      </c>
      <c r="I158" s="8" t="inlineStr">
        <is>
          <t>Pass</t>
        </is>
      </c>
      <c r="J158" s="8" t="n"/>
      <c r="K158" s="7" t="n"/>
    </row>
    <row r="159">
      <c r="A159" s="7" t="inlineStr">
        <is>
          <t>LR-030</t>
        </is>
      </c>
      <c r="B159" s="7" t="inlineStr">
        <is>
          <t>"Nationality" filter narrows the report</t>
        </is>
      </c>
      <c r="C159" s="7" t="inlineStr">
        <is>
          <t>Lead Reports workbook</t>
        </is>
      </c>
      <c r="D159" s="7" t="inlineStr">
        <is>
          <t>Lead Reports</t>
        </is>
      </c>
      <c r="E159" s="8" t="inlineStr">
        <is>
          <t>REQ-LR-03</t>
        </is>
      </c>
      <c r="F159" s="8" t="inlineStr">
        <is>
          <t>Medium</t>
        </is>
      </c>
      <c r="G159" s="7" t="inlineStr">
        <is>
          <t>Yes</t>
        </is>
      </c>
      <c r="H159" s="7" t="inlineStr">
        <is>
          <t>tests/lead-reports/filters-views.spec.ts</t>
        </is>
      </c>
      <c r="I159" s="8" t="inlineStr">
        <is>
          <t>Pass</t>
        </is>
      </c>
      <c r="J159" s="8" t="n"/>
      <c r="K159" s="7" t="n"/>
    </row>
    <row r="160">
      <c r="A160" s="7" t="inlineStr">
        <is>
          <t>LR-031</t>
        </is>
      </c>
      <c r="B160" s="7" t="inlineStr">
        <is>
          <t>Several filters combine (AND)</t>
        </is>
      </c>
      <c r="C160" s="7" t="inlineStr">
        <is>
          <t>Lead Reports workbook</t>
        </is>
      </c>
      <c r="D160" s="7" t="inlineStr">
        <is>
          <t>Lead Reports</t>
        </is>
      </c>
      <c r="E160" s="8" t="inlineStr">
        <is>
          <t>REQ-LR-03</t>
        </is>
      </c>
      <c r="F160" s="8" t="inlineStr">
        <is>
          <t>Medium</t>
        </is>
      </c>
      <c r="G160" s="7" t="inlineStr">
        <is>
          <t>Yes</t>
        </is>
      </c>
      <c r="H160" s="7" t="inlineStr">
        <is>
          <t>tests/lead-reports/filters-views.spec.ts</t>
        </is>
      </c>
      <c r="I160" s="8" t="inlineStr">
        <is>
          <t>Pass</t>
        </is>
      </c>
      <c r="J160" s="8" t="n"/>
      <c r="K160" s="7" t="n"/>
    </row>
    <row r="161">
      <c r="A161" s="7" t="inlineStr">
        <is>
          <t>LR-032</t>
        </is>
      </c>
      <c r="B161" s="7" t="inlineStr">
        <is>
          <t>Filters apply to every tab</t>
        </is>
      </c>
      <c r="C161" s="7" t="inlineStr">
        <is>
          <t>Lead Reports workbook</t>
        </is>
      </c>
      <c r="D161" s="7" t="inlineStr">
        <is>
          <t>Lead Reports</t>
        </is>
      </c>
      <c r="E161" s="8" t="inlineStr">
        <is>
          <t>REQ-LR-03</t>
        </is>
      </c>
      <c r="F161" s="8" t="inlineStr">
        <is>
          <t>High</t>
        </is>
      </c>
      <c r="G161" s="7" t="inlineStr">
        <is>
          <t>Yes</t>
        </is>
      </c>
      <c r="H161" s="7" t="inlineStr">
        <is>
          <t>tests/lead-reports/filters-views.spec.ts</t>
        </is>
      </c>
      <c r="I161" s="8" t="inlineStr">
        <is>
          <t>Pass</t>
        </is>
      </c>
      <c r="J161" s="8" t="n"/>
      <c r="K161" s="7" t="n"/>
    </row>
    <row r="162">
      <c r="A162" s="7" t="inlineStr">
        <is>
          <t>LR-033</t>
        </is>
      </c>
      <c r="B162" s="7" t="inlineStr">
        <is>
          <t>Filters after a page reload</t>
        </is>
      </c>
      <c r="C162" s="7" t="inlineStr">
        <is>
          <t>Lead Reports workbook</t>
        </is>
      </c>
      <c r="D162" s="7" t="inlineStr">
        <is>
          <t>Lead Reports</t>
        </is>
      </c>
      <c r="E162" s="8" t="inlineStr">
        <is>
          <t>REQ-LR-03</t>
        </is>
      </c>
      <c r="F162" s="8" t="inlineStr">
        <is>
          <t>Low</t>
        </is>
      </c>
      <c r="G162" s="7" t="inlineStr">
        <is>
          <t>Yes</t>
        </is>
      </c>
      <c r="H162" s="7" t="inlineStr">
        <is>
          <t>tests/lead-reports/filters-views.spec.ts</t>
        </is>
      </c>
      <c r="I162" s="8" t="inlineStr">
        <is>
          <t>Pass</t>
        </is>
      </c>
      <c r="J162" s="8" t="n"/>
      <c r="K162" s="7" t="n"/>
    </row>
    <row r="163">
      <c r="A163" s="7" t="inlineStr">
        <is>
          <t>LR-034</t>
        </is>
      </c>
      <c r="B163" s="7" t="inlineStr">
        <is>
          <t>Reset filters restores the defaults</t>
        </is>
      </c>
      <c r="C163" s="7" t="inlineStr">
        <is>
          <t>Lead Reports workbook</t>
        </is>
      </c>
      <c r="D163" s="7" t="inlineStr">
        <is>
          <t>Lead Reports</t>
        </is>
      </c>
      <c r="E163" s="8" t="inlineStr">
        <is>
          <t>REQ-LR-03</t>
        </is>
      </c>
      <c r="F163" s="8" t="inlineStr">
        <is>
          <t>High</t>
        </is>
      </c>
      <c r="G163" s="7" t="inlineStr">
        <is>
          <t>Yes</t>
        </is>
      </c>
      <c r="H163" s="7" t="inlineStr">
        <is>
          <t>tests/lead-reports/filters-views.spec.ts</t>
        </is>
      </c>
      <c r="I163" s="8" t="inlineStr">
        <is>
          <t>Pass</t>
        </is>
      </c>
      <c r="J163" s="8" t="n"/>
      <c r="K163" s="7" t="n"/>
    </row>
    <row r="164">
      <c r="A164" s="7" t="inlineStr">
        <is>
          <t>LR-035</t>
        </is>
      </c>
      <c r="B164" s="7" t="inlineStr">
        <is>
          <t>Drill-down lists respect the filters</t>
        </is>
      </c>
      <c r="C164" s="7" t="inlineStr">
        <is>
          <t>Lead Reports workbook</t>
        </is>
      </c>
      <c r="D164" s="7" t="inlineStr">
        <is>
          <t>Lead Reports</t>
        </is>
      </c>
      <c r="E164" s="8" t="inlineStr">
        <is>
          <t>REQ-LR-03</t>
        </is>
      </c>
      <c r="F164" s="8" t="inlineStr">
        <is>
          <t>High</t>
        </is>
      </c>
      <c r="G164" s="7" t="inlineStr">
        <is>
          <t>Yes</t>
        </is>
      </c>
      <c r="H164" s="7" t="inlineStr">
        <is>
          <t>tests/lead-reports/filters-views.spec.ts</t>
        </is>
      </c>
      <c r="I164" s="8" t="inlineStr">
        <is>
          <t>Pass</t>
        </is>
      </c>
      <c r="J164" s="8" t="n"/>
      <c r="K164" s="7" t="n"/>
    </row>
    <row r="165">
      <c r="A165" s="7" t="inlineStr">
        <is>
          <t>LR-036</t>
        </is>
      </c>
      <c r="B165" s="7" t="inlineStr">
        <is>
          <t>View buttons All / You and your team / Mine</t>
        </is>
      </c>
      <c r="C165" s="7" t="inlineStr">
        <is>
          <t>Lead Reports workbook</t>
        </is>
      </c>
      <c r="D165" s="7" t="inlineStr">
        <is>
          <t>Lead Reports</t>
        </is>
      </c>
      <c r="E165" s="8" t="inlineStr">
        <is>
          <t>REQ-LR-06</t>
        </is>
      </c>
      <c r="F165" s="8" t="inlineStr">
        <is>
          <t>Medium</t>
        </is>
      </c>
      <c r="G165" s="7" t="inlineStr">
        <is>
          <t>Yes</t>
        </is>
      </c>
      <c r="H165" s="7" t="inlineStr">
        <is>
          <t>tests/lead-reports/filters-views.spec.ts</t>
        </is>
      </c>
      <c r="I165" s="8" t="inlineStr">
        <is>
          <t>Pass</t>
        </is>
      </c>
      <c r="J165" s="8" t="n"/>
      <c r="K165" s="7" t="n"/>
    </row>
    <row r="166">
      <c r="A166" s="7" t="inlineStr">
        <is>
          <t>LR-037</t>
        </is>
      </c>
      <c r="B166" s="7" t="inlineStr">
        <is>
          <t>"You and your team" shows the user's reporting line</t>
        </is>
      </c>
      <c r="C166" s="7" t="inlineStr">
        <is>
          <t>Lead Reports workbook</t>
        </is>
      </c>
      <c r="D166" s="7" t="inlineStr">
        <is>
          <t>Lead Reports</t>
        </is>
      </c>
      <c r="E166" s="8" t="inlineStr">
        <is>
          <t>REQ-LR-06</t>
        </is>
      </c>
      <c r="F166" s="8" t="inlineStr">
        <is>
          <t>High</t>
        </is>
      </c>
      <c r="G166" s="7" t="inlineStr">
        <is>
          <t>Yes</t>
        </is>
      </c>
      <c r="H166" s="7" t="inlineStr">
        <is>
          <t>tests/lead-reports/filters-views.spec.ts</t>
        </is>
      </c>
      <c r="I166" s="8" t="inlineStr">
        <is>
          <t>Pass</t>
        </is>
      </c>
      <c r="J166" s="8" t="n"/>
      <c r="K166" s="7" t="n"/>
    </row>
    <row r="167">
      <c r="A167" s="7" t="inlineStr">
        <is>
          <t>LR-038</t>
        </is>
      </c>
      <c r="B167" s="7" t="inlineStr">
        <is>
          <t>"Mine" shows only the user's own leads</t>
        </is>
      </c>
      <c r="C167" s="7" t="inlineStr">
        <is>
          <t>Lead Reports workbook</t>
        </is>
      </c>
      <c r="D167" s="7" t="inlineStr">
        <is>
          <t>Lead Reports</t>
        </is>
      </c>
      <c r="E167" s="8" t="inlineStr">
        <is>
          <t>REQ-LR-06</t>
        </is>
      </c>
      <c r="F167" s="8" t="inlineStr">
        <is>
          <t>High</t>
        </is>
      </c>
      <c r="G167" s="7" t="inlineStr">
        <is>
          <t>Yes</t>
        </is>
      </c>
      <c r="H167" s="7" t="inlineStr">
        <is>
          <t>tests/lead-reports/filters-views.spec.ts</t>
        </is>
      </c>
      <c r="I167" s="8" t="inlineStr">
        <is>
          <t>Pass</t>
        </is>
      </c>
      <c r="J167" s="8" t="n"/>
      <c r="K167" s="7" t="n"/>
    </row>
    <row r="168">
      <c r="A168" s="7" t="inlineStr">
        <is>
          <t>LR-039</t>
        </is>
      </c>
      <c r="B168" s="7" t="inlineStr">
        <is>
          <t>"All" restores every salesperson</t>
        </is>
      </c>
      <c r="C168" s="7" t="inlineStr">
        <is>
          <t>Lead Reports workbook</t>
        </is>
      </c>
      <c r="D168" s="7" t="inlineStr">
        <is>
          <t>Lead Reports</t>
        </is>
      </c>
      <c r="E168" s="8" t="inlineStr">
        <is>
          <t>REQ-LR-06</t>
        </is>
      </c>
      <c r="F168" s="8" t="inlineStr">
        <is>
          <t>Medium</t>
        </is>
      </c>
      <c r="G168" s="7" t="inlineStr">
        <is>
          <t>Yes</t>
        </is>
      </c>
      <c r="H168" s="7" t="inlineStr">
        <is>
          <t>tests/lead-reports/filters-views.spec.ts</t>
        </is>
      </c>
      <c r="I168" s="8" t="inlineStr">
        <is>
          <t>Pass</t>
        </is>
      </c>
      <c r="J168" s="8" t="n"/>
      <c r="K168" s="7" t="n"/>
    </row>
    <row r="169">
      <c r="A169" s="7" t="inlineStr">
        <is>
          <t>LR-040</t>
        </is>
      </c>
      <c r="B169" s="7" t="inlineStr">
        <is>
          <t>Default view depends on the role</t>
        </is>
      </c>
      <c r="C169" s="7" t="inlineStr">
        <is>
          <t>Lead Reports workbook</t>
        </is>
      </c>
      <c r="D169" s="7" t="inlineStr">
        <is>
          <t>Lead Reports</t>
        </is>
      </c>
      <c r="E169" s="8" t="inlineStr">
        <is>
          <t>REQ-LR-06</t>
        </is>
      </c>
      <c r="F169" s="8" t="inlineStr">
        <is>
          <t>Medium</t>
        </is>
      </c>
      <c r="G169" s="7" t="inlineStr">
        <is>
          <t>Yes</t>
        </is>
      </c>
      <c r="H169" s="7" t="inlineStr">
        <is>
          <t>tests/lead-reports/filters-views.spec.ts</t>
        </is>
      </c>
      <c r="I169" s="8" t="inlineStr">
        <is>
          <t>Skipped</t>
        </is>
      </c>
      <c r="J169" s="8" t="n"/>
      <c r="K169" s="7" t="inlineStr">
        <is>
          <t>Needs manager and salesperson test accounts (set CRM_MANAGER_* / CRM_SALES_* to enable)</t>
        </is>
      </c>
    </row>
    <row r="170">
      <c r="A170" s="7" t="inlineStr">
        <is>
          <t>LR-041</t>
        </is>
      </c>
      <c r="B170" s="7" t="inlineStr">
        <is>
          <t>Salesperson's Mine view shows a team average on the scorecard</t>
        </is>
      </c>
      <c r="C170" s="7" t="inlineStr">
        <is>
          <t>Lead Reports workbook</t>
        </is>
      </c>
      <c r="D170" s="7" t="inlineStr">
        <is>
          <t>Lead Reports</t>
        </is>
      </c>
      <c r="E170" s="8" t="inlineStr">
        <is>
          <t>REQ-LR-06</t>
        </is>
      </c>
      <c r="F170" s="8" t="inlineStr">
        <is>
          <t>Low</t>
        </is>
      </c>
      <c r="G170" s="7" t="inlineStr">
        <is>
          <t>Yes</t>
        </is>
      </c>
      <c r="H170" s="7" t="inlineStr">
        <is>
          <t>tests/lead-reports/filters-views.spec.ts</t>
        </is>
      </c>
      <c r="I170" s="8" t="inlineStr">
        <is>
          <t>Skipped</t>
        </is>
      </c>
      <c r="J170" s="8" t="n"/>
      <c r="K170" s="7" t="inlineStr">
        <is>
          <t>Needs a salesperson test account</t>
        </is>
      </c>
    </row>
    <row r="171">
      <c r="A171" s="7" t="inlineStr">
        <is>
          <t>LR-001</t>
        </is>
      </c>
      <c r="B171" s="7" t="inlineStr">
        <is>
          <t>Open Lead Reports from the Reports &amp; Analytics hub card</t>
        </is>
      </c>
      <c r="C171" s="7" t="inlineStr">
        <is>
          <t>Lead Reports workbook</t>
        </is>
      </c>
      <c r="D171" s="7" t="inlineStr">
        <is>
          <t>Lead Reports</t>
        </is>
      </c>
      <c r="E171" s="8" t="inlineStr">
        <is>
          <t>REQ-LR-01</t>
        </is>
      </c>
      <c r="F171" s="8" t="inlineStr">
        <is>
          <t>High</t>
        </is>
      </c>
      <c r="G171" s="7" t="inlineStr">
        <is>
          <t>Yes</t>
        </is>
      </c>
      <c r="H171" s="7" t="inlineStr">
        <is>
          <t>tests/lead-reports/general-tabs.spec.ts</t>
        </is>
      </c>
      <c r="I171" s="8" t="inlineStr">
        <is>
          <t>Pass</t>
        </is>
      </c>
      <c r="J171" s="8" t="n"/>
      <c r="K171" s="7" t="n"/>
    </row>
    <row r="172">
      <c r="A172" s="7" t="inlineStr">
        <is>
          <t>LR-002</t>
        </is>
      </c>
      <c r="B172" s="7" t="inlineStr">
        <is>
          <t>Open Lead Reports directly by URL</t>
        </is>
      </c>
      <c r="C172" s="7" t="inlineStr">
        <is>
          <t>Lead Reports workbook</t>
        </is>
      </c>
      <c r="D172" s="7" t="inlineStr">
        <is>
          <t>Lead Reports</t>
        </is>
      </c>
      <c r="E172" s="8" t="inlineStr">
        <is>
          <t>REQ-LR-01</t>
        </is>
      </c>
      <c r="F172" s="8" t="inlineStr">
        <is>
          <t>High</t>
        </is>
      </c>
      <c r="G172" s="7" t="inlineStr">
        <is>
          <t>Yes</t>
        </is>
      </c>
      <c r="H172" s="7" t="inlineStr">
        <is>
          <t>tests/lead-reports/general-tabs.spec.ts</t>
        </is>
      </c>
      <c r="I172" s="8" t="inlineStr">
        <is>
          <t>Pass</t>
        </is>
      </c>
      <c r="J172" s="8" t="n"/>
      <c r="K172" s="7" t="n"/>
    </row>
    <row r="173">
      <c r="A173" s="7" t="inlineStr">
        <is>
          <t>LR-003</t>
        </is>
      </c>
      <c r="B173" s="7" t="inlineStr">
        <is>
          <t>"REPORTS &amp; ANALYTICS" breadcrumb returns to the hub</t>
        </is>
      </c>
      <c r="C173" s="7" t="inlineStr">
        <is>
          <t>Lead Reports workbook</t>
        </is>
      </c>
      <c r="D173" s="7" t="inlineStr">
        <is>
          <t>Lead Reports</t>
        </is>
      </c>
      <c r="E173" s="8" t="inlineStr">
        <is>
          <t>REQ-LR-01</t>
        </is>
      </c>
      <c r="F173" s="8" t="inlineStr">
        <is>
          <t>Medium</t>
        </is>
      </c>
      <c r="G173" s="7" t="inlineStr">
        <is>
          <t>Yes</t>
        </is>
      </c>
      <c r="H173" s="7" t="inlineStr">
        <is>
          <t>tests/lead-reports/general-tabs.spec.ts</t>
        </is>
      </c>
      <c r="I173" s="8" t="inlineStr">
        <is>
          <t>Pass</t>
        </is>
      </c>
      <c r="J173" s="8" t="n"/>
      <c r="K173" s="7" t="n"/>
    </row>
    <row r="174">
      <c r="A174" s="7" t="inlineStr">
        <is>
          <t>LR-005</t>
        </is>
      </c>
      <c r="B174" s="7" t="inlineStr">
        <is>
          <t>Page loads without errors or broken values</t>
        </is>
      </c>
      <c r="C174" s="7" t="inlineStr">
        <is>
          <t>Lead Reports workbook</t>
        </is>
      </c>
      <c r="D174" s="7" t="inlineStr">
        <is>
          <t>Lead Reports</t>
        </is>
      </c>
      <c r="E174" s="8" t="inlineStr">
        <is>
          <t>REQ-LR-01</t>
        </is>
      </c>
      <c r="F174" s="8" t="inlineStr">
        <is>
          <t>High</t>
        </is>
      </c>
      <c r="G174" s="7" t="inlineStr">
        <is>
          <t>Yes</t>
        </is>
      </c>
      <c r="H174" s="7" t="inlineStr">
        <is>
          <t>tests/lead-reports/general-tabs.spec.ts</t>
        </is>
      </c>
      <c r="I174" s="8" t="inlineStr">
        <is>
          <t>Pass</t>
        </is>
      </c>
      <c r="J174" s="8" t="n"/>
      <c r="K174" s="7" t="n"/>
    </row>
    <row r="175">
      <c r="A175" s="7" t="inlineStr">
        <is>
          <t>LR-006</t>
        </is>
      </c>
      <c r="B175" s="7" t="inlineStr">
        <is>
          <t>"How these numbers are calculated" explains every measure</t>
        </is>
      </c>
      <c r="C175" s="7" t="inlineStr">
        <is>
          <t>Lead Reports workbook</t>
        </is>
      </c>
      <c r="D175" s="7" t="inlineStr">
        <is>
          <t>Lead Reports</t>
        </is>
      </c>
      <c r="E175" s="8" t="inlineStr">
        <is>
          <t>REQ-LR-01</t>
        </is>
      </c>
      <c r="F175" s="8" t="inlineStr">
        <is>
          <t>Low</t>
        </is>
      </c>
      <c r="G175" s="7" t="inlineStr">
        <is>
          <t>Yes</t>
        </is>
      </c>
      <c r="H175" s="7" t="inlineStr">
        <is>
          <t>tests/lead-reports/general-tabs.spec.ts</t>
        </is>
      </c>
      <c r="I175" s="8" t="inlineStr">
        <is>
          <t>Pass</t>
        </is>
      </c>
      <c r="J175" s="8" t="n"/>
      <c r="K175" s="7" t="n"/>
    </row>
    <row r="176">
      <c r="A176" s="7" t="inlineStr">
        <is>
          <t>LR-004</t>
        </is>
      </c>
      <c r="B176" s="7" t="inlineStr">
        <is>
          <t>Lead Reports requires a login</t>
        </is>
      </c>
      <c r="C176" s="7" t="inlineStr">
        <is>
          <t>Lead Reports workbook</t>
        </is>
      </c>
      <c r="D176" s="7" t="inlineStr">
        <is>
          <t>Lead Reports</t>
        </is>
      </c>
      <c r="E176" s="8" t="inlineStr">
        <is>
          <t>REQ-LR-01</t>
        </is>
      </c>
      <c r="F176" s="8" t="inlineStr">
        <is>
          <t>High</t>
        </is>
      </c>
      <c r="G176" s="7" t="inlineStr">
        <is>
          <t>Yes</t>
        </is>
      </c>
      <c r="H176" s="7" t="inlineStr">
        <is>
          <t>tests/lead-reports/general-tabs.spec.ts</t>
        </is>
      </c>
      <c r="I176" s="8" t="inlineStr">
        <is>
          <t>Pass</t>
        </is>
      </c>
      <c r="J176" s="8" t="n"/>
      <c r="K176" s="7" t="n"/>
    </row>
    <row r="177">
      <c r="A177" s="7" t="inlineStr">
        <is>
          <t>LR-007</t>
        </is>
      </c>
      <c r="B177" s="7" t="inlineStr">
        <is>
          <t>Overview &amp; Funnel is the default tab</t>
        </is>
      </c>
      <c r="C177" s="7" t="inlineStr">
        <is>
          <t>Lead Reports workbook</t>
        </is>
      </c>
      <c r="D177" s="7" t="inlineStr">
        <is>
          <t>Lead Reports</t>
        </is>
      </c>
      <c r="E177" s="8" t="inlineStr">
        <is>
          <t>REQ-LR-01</t>
        </is>
      </c>
      <c r="F177" s="8" t="inlineStr">
        <is>
          <t>Medium</t>
        </is>
      </c>
      <c r="G177" s="7" t="inlineStr">
        <is>
          <t>Yes</t>
        </is>
      </c>
      <c r="H177" s="7" t="inlineStr">
        <is>
          <t>tests/lead-reports/general-tabs.spec.ts</t>
        </is>
      </c>
      <c r="I177" s="8" t="inlineStr">
        <is>
          <t>Pass</t>
        </is>
      </c>
      <c r="J177" s="8" t="n"/>
      <c r="K177" s="7" t="n"/>
    </row>
    <row r="178">
      <c r="A178" s="7" t="inlineStr">
        <is>
          <t>LR-008</t>
        </is>
      </c>
      <c r="B178" s="7" t="inlineStr">
        <is>
          <t>Open the "Source &amp; Channel" tab</t>
        </is>
      </c>
      <c r="C178" s="7" t="inlineStr">
        <is>
          <t>Lead Reports workbook</t>
        </is>
      </c>
      <c r="D178" s="7" t="inlineStr">
        <is>
          <t>Lead Reports</t>
        </is>
      </c>
      <c r="E178" s="8" t="inlineStr">
        <is>
          <t>REQ-LR-01</t>
        </is>
      </c>
      <c r="F178" s="8" t="inlineStr">
        <is>
          <t>High</t>
        </is>
      </c>
      <c r="G178" s="7" t="inlineStr">
        <is>
          <t>Yes</t>
        </is>
      </c>
      <c r="H178" s="7" t="inlineStr">
        <is>
          <t>tests/lead-reports/general-tabs.spec.ts</t>
        </is>
      </c>
      <c r="I178" s="8" t="inlineStr">
        <is>
          <t>Pass</t>
        </is>
      </c>
      <c r="J178" s="8" t="n"/>
      <c r="K178" s="7" t="n"/>
    </row>
    <row r="179">
      <c r="A179" s="7" t="inlineStr">
        <is>
          <t>LR-009</t>
        </is>
      </c>
      <c r="B179" s="7" t="inlineStr">
        <is>
          <t>Open the "Aging &amp; Follow-up" tab</t>
        </is>
      </c>
      <c r="C179" s="7" t="inlineStr">
        <is>
          <t>Lead Reports workbook</t>
        </is>
      </c>
      <c r="D179" s="7" t="inlineStr">
        <is>
          <t>Lead Reports</t>
        </is>
      </c>
      <c r="E179" s="8" t="inlineStr">
        <is>
          <t>REQ-LR-01</t>
        </is>
      </c>
      <c r="F179" s="8" t="inlineStr">
        <is>
          <t>High</t>
        </is>
      </c>
      <c r="G179" s="7" t="inlineStr">
        <is>
          <t>Yes</t>
        </is>
      </c>
      <c r="H179" s="7" t="inlineStr">
        <is>
          <t>tests/lead-reports/general-tabs.spec.ts</t>
        </is>
      </c>
      <c r="I179" s="8" t="inlineStr">
        <is>
          <t>Pass</t>
        </is>
      </c>
      <c r="J179" s="8" t="n"/>
      <c r="K179" s="7" t="n"/>
    </row>
    <row r="180">
      <c r="A180" s="7" t="inlineStr">
        <is>
          <t>LR-010</t>
        </is>
      </c>
      <c r="B180" s="7" t="inlineStr">
        <is>
          <t>Open the "Qualification &amp; Conversion" tab</t>
        </is>
      </c>
      <c r="C180" s="7" t="inlineStr">
        <is>
          <t>Lead Reports workbook</t>
        </is>
      </c>
      <c r="D180" s="7" t="inlineStr">
        <is>
          <t>Lead Reports</t>
        </is>
      </c>
      <c r="E180" s="8" t="inlineStr">
        <is>
          <t>REQ-LR-01</t>
        </is>
      </c>
      <c r="F180" s="8" t="inlineStr">
        <is>
          <t>High</t>
        </is>
      </c>
      <c r="G180" s="7" t="inlineStr">
        <is>
          <t>Yes</t>
        </is>
      </c>
      <c r="H180" s="7" t="inlineStr">
        <is>
          <t>tests/lead-reports/general-tabs.spec.ts</t>
        </is>
      </c>
      <c r="I180" s="8" t="inlineStr">
        <is>
          <t>Pass</t>
        </is>
      </c>
      <c r="J180" s="8" t="n"/>
      <c r="K180" s="7" t="n"/>
    </row>
    <row r="181">
      <c r="A181" s="7" t="inlineStr">
        <is>
          <t>LR-011</t>
        </is>
      </c>
      <c r="B181" s="7" t="inlineStr">
        <is>
          <t>Open the "Salesperson Scorecard" tab</t>
        </is>
      </c>
      <c r="C181" s="7" t="inlineStr">
        <is>
          <t>Lead Reports workbook</t>
        </is>
      </c>
      <c r="D181" s="7" t="inlineStr">
        <is>
          <t>Lead Reports</t>
        </is>
      </c>
      <c r="E181" s="8" t="inlineStr">
        <is>
          <t>REQ-LR-01</t>
        </is>
      </c>
      <c r="F181" s="8" t="inlineStr">
        <is>
          <t>High</t>
        </is>
      </c>
      <c r="G181" s="7" t="inlineStr">
        <is>
          <t>Yes</t>
        </is>
      </c>
      <c r="H181" s="7" t="inlineStr">
        <is>
          <t>tests/lead-reports/general-tabs.spec.ts</t>
        </is>
      </c>
      <c r="I181" s="8" t="inlineStr">
        <is>
          <t>Pass</t>
        </is>
      </c>
      <c r="J181" s="8" t="n"/>
      <c r="K181" s="7" t="n"/>
    </row>
    <row r="182">
      <c r="A182" s="7" t="inlineStr">
        <is>
          <t>LR-012</t>
        </is>
      </c>
      <c r="B182" s="7" t="inlineStr">
        <is>
          <t>A tab opens directly from its URL</t>
        </is>
      </c>
      <c r="C182" s="7" t="inlineStr">
        <is>
          <t>Lead Reports workbook</t>
        </is>
      </c>
      <c r="D182" s="7" t="inlineStr">
        <is>
          <t>Lead Reports</t>
        </is>
      </c>
      <c r="E182" s="8" t="inlineStr">
        <is>
          <t>REQ-LR-01</t>
        </is>
      </c>
      <c r="F182" s="8" t="inlineStr">
        <is>
          <t>Medium</t>
        </is>
      </c>
      <c r="G182" s="7" t="inlineStr">
        <is>
          <t>Yes</t>
        </is>
      </c>
      <c r="H182" s="7" t="inlineStr">
        <is>
          <t>tests/lead-reports/general-tabs.spec.ts</t>
        </is>
      </c>
      <c r="I182" s="8" t="inlineStr">
        <is>
          <t>Pass</t>
        </is>
      </c>
      <c r="J182" s="8" t="n"/>
      <c r="K182" s="7" t="n"/>
    </row>
    <row r="183">
      <c r="A183" s="7" t="inlineStr">
        <is>
          <t>LR-013</t>
        </is>
      </c>
      <c r="B183" s="7" t="inlineStr">
        <is>
          <t>Reload keeps the current tab</t>
        </is>
      </c>
      <c r="C183" s="7" t="inlineStr">
        <is>
          <t>Lead Reports workbook</t>
        </is>
      </c>
      <c r="D183" s="7" t="inlineStr">
        <is>
          <t>Lead Reports</t>
        </is>
      </c>
      <c r="E183" s="8" t="inlineStr">
        <is>
          <t>REQ-LR-01</t>
        </is>
      </c>
      <c r="F183" s="8" t="inlineStr">
        <is>
          <t>Medium</t>
        </is>
      </c>
      <c r="G183" s="7" t="inlineStr">
        <is>
          <t>Yes</t>
        </is>
      </c>
      <c r="H183" s="7" t="inlineStr">
        <is>
          <t>tests/lead-reports/general-tabs.spec.ts</t>
        </is>
      </c>
      <c r="I183" s="8" t="inlineStr">
        <is>
          <t>Pass</t>
        </is>
      </c>
      <c r="J183" s="8" t="n"/>
      <c r="K183" s="7" t="n"/>
    </row>
    <row r="184">
      <c r="A184" s="7" t="inlineStr">
        <is>
          <t>LR-014</t>
        </is>
      </c>
      <c r="B184" s="7" t="inlineStr">
        <is>
          <t>Browser Back returns to the previous tab</t>
        </is>
      </c>
      <c r="C184" s="7" t="inlineStr">
        <is>
          <t>Lead Reports workbook</t>
        </is>
      </c>
      <c r="D184" s="7" t="inlineStr">
        <is>
          <t>Lead Reports</t>
        </is>
      </c>
      <c r="E184" s="8" t="inlineStr">
        <is>
          <t>REQ-LR-01</t>
        </is>
      </c>
      <c r="F184" s="8" t="inlineStr">
        <is>
          <t>Low</t>
        </is>
      </c>
      <c r="G184" s="7" t="inlineStr">
        <is>
          <t>Yes</t>
        </is>
      </c>
      <c r="H184" s="7" t="inlineStr">
        <is>
          <t>tests/lead-reports/general-tabs.spec.ts</t>
        </is>
      </c>
      <c r="I184" s="8" t="inlineStr">
        <is>
          <t>Fail</t>
        </is>
      </c>
      <c r="J184" s="8" t="inlineStr">
        <is>
          <t>DEF-12</t>
        </is>
      </c>
      <c r="K184" s="7" t="inlineStr">
        <is>
          <t>Error: Tab after browser Back</t>
        </is>
      </c>
    </row>
    <row r="185">
      <c r="A185" s="7" t="inlineStr">
        <is>
          <t>LR-015</t>
        </is>
      </c>
      <c r="B185" s="7" t="inlineStr">
        <is>
          <t>Unknown tab in the URL falls back to Overview</t>
        </is>
      </c>
      <c r="C185" s="7" t="inlineStr">
        <is>
          <t>Lead Reports workbook</t>
        </is>
      </c>
      <c r="D185" s="7" t="inlineStr">
        <is>
          <t>Lead Reports</t>
        </is>
      </c>
      <c r="E185" s="8" t="inlineStr">
        <is>
          <t>REQ-LR-01</t>
        </is>
      </c>
      <c r="F185" s="8" t="inlineStr">
        <is>
          <t>Low</t>
        </is>
      </c>
      <c r="G185" s="7" t="inlineStr">
        <is>
          <t>Yes</t>
        </is>
      </c>
      <c r="H185" s="7" t="inlineStr">
        <is>
          <t>tests/lead-reports/general-tabs.spec.ts</t>
        </is>
      </c>
      <c r="I185" s="8" t="inlineStr">
        <is>
          <t>Pass</t>
        </is>
      </c>
      <c r="J185" s="8" t="n"/>
      <c r="K185" s="7" t="n"/>
    </row>
    <row r="186">
      <c r="A186" s="7" t="inlineStr">
        <is>
          <t>LR-OBS-00</t>
        </is>
      </c>
      <c r="B186" s="7" t="inlineStr">
        <is>
          <t>Every observation on the sheet has a check</t>
        </is>
      </c>
      <c r="C186" s="7" t="inlineStr">
        <is>
          <t>Lead Reports workbook (Observations)</t>
        </is>
      </c>
      <c r="D186" s="7" t="inlineStr">
        <is>
          <t>Lead Reports</t>
        </is>
      </c>
      <c r="E186" s="8" t="inlineStr">
        <is>
          <t>REQ-LR-16</t>
        </is>
      </c>
      <c r="F186" s="8" t="n"/>
      <c r="G186" s="7" t="inlineStr">
        <is>
          <t>Yes</t>
        </is>
      </c>
      <c r="H186" s="7" t="inlineStr">
        <is>
          <t>tests/lead-reports/observations.spec.ts</t>
        </is>
      </c>
      <c r="I186" s="8" t="inlineStr">
        <is>
          <t>Pass</t>
        </is>
      </c>
      <c r="J186" s="8" t="n"/>
      <c r="K186" s="7" t="n"/>
    </row>
    <row r="187">
      <c r="A187" s="7" t="inlineStr">
        <is>
          <t>LR-OBS-01</t>
        </is>
      </c>
      <c r="B187" s="7" t="inlineStr">
        <is>
          <t>Filters: The page opens on "Last 12 months".</t>
        </is>
      </c>
      <c r="C187" s="7" t="inlineStr">
        <is>
          <t>Lead Reports workbook (Observations)</t>
        </is>
      </c>
      <c r="D187" s="7" t="inlineStr">
        <is>
          <t>Lead Reports</t>
        </is>
      </c>
      <c r="E187" s="8" t="inlineStr">
        <is>
          <t>REQ-LR-16</t>
        </is>
      </c>
      <c r="F187" s="8" t="n"/>
      <c r="G187" s="7" t="inlineStr">
        <is>
          <t>Yes</t>
        </is>
      </c>
      <c r="H187" s="7" t="inlineStr">
        <is>
          <t>tests/lead-reports/observations.spec.ts</t>
        </is>
      </c>
      <c r="I187" s="8" t="inlineStr">
        <is>
          <t>Fail</t>
        </is>
      </c>
      <c r="J187" s="8" t="inlineStr">
        <is>
          <t>DEF-01</t>
        </is>
      </c>
      <c r="K187" s="7" t="inlineStr">
        <is>
          <t>Error: Default period</t>
        </is>
      </c>
    </row>
    <row r="188">
      <c r="A188" s="7" t="inlineStr">
        <is>
          <t>LR-OBS-02</t>
        </is>
      </c>
      <c r="B188" s="7" t="inlineStr">
        <is>
          <t>Custom dates: From later than To: nothing happens — no message, no reload, old figures remain.</t>
        </is>
      </c>
      <c r="C188" s="7" t="inlineStr">
        <is>
          <t>Lead Reports workbook (Observations)</t>
        </is>
      </c>
      <c r="D188" s="7" t="inlineStr">
        <is>
          <t>Lead Reports</t>
        </is>
      </c>
      <c r="E188" s="8" t="inlineStr">
        <is>
          <t>REQ-LR-16</t>
        </is>
      </c>
      <c r="F188" s="8" t="n"/>
      <c r="G188" s="7" t="inlineStr">
        <is>
          <t>Yes</t>
        </is>
      </c>
      <c r="H188" s="7" t="inlineStr">
        <is>
          <t>tests/lead-reports/observations.spec.ts</t>
        </is>
      </c>
      <c r="I188" s="8" t="inlineStr">
        <is>
          <t>Pass</t>
        </is>
      </c>
      <c r="J188" s="8" t="n"/>
      <c r="K188" s="7" t="n"/>
    </row>
    <row r="189">
      <c r="A189" s="7" t="inlineStr">
        <is>
          <t>LR-OBS-03</t>
        </is>
      </c>
      <c r="B189" s="7" t="inlineStr">
        <is>
          <t>Drill-down: Esc does not close the drill-down list; only the Close button does.</t>
        </is>
      </c>
      <c r="C189" s="7" t="inlineStr">
        <is>
          <t>Lead Reports workbook (Observations)</t>
        </is>
      </c>
      <c r="D189" s="7" t="inlineStr">
        <is>
          <t>Lead Reports</t>
        </is>
      </c>
      <c r="E189" s="8" t="inlineStr">
        <is>
          <t>REQ-LR-16</t>
        </is>
      </c>
      <c r="F189" s="8" t="n"/>
      <c r="G189" s="7" t="inlineStr">
        <is>
          <t>Yes</t>
        </is>
      </c>
      <c r="H189" s="7" t="inlineStr">
        <is>
          <t>tests/lead-reports/observations.spec.ts</t>
        </is>
      </c>
      <c r="I189" s="8" t="inlineStr">
        <is>
          <t>Fail</t>
        </is>
      </c>
      <c r="J189" s="8" t="inlineStr">
        <is>
          <t>DEF-12</t>
        </is>
      </c>
      <c r="K189" s="7" t="inlineStr">
        <is>
          <t>Error: Esc closes the list</t>
        </is>
      </c>
    </row>
    <row r="190">
      <c r="A190" s="7" t="inlineStr">
        <is>
          <t>LR-OBS-04</t>
        </is>
      </c>
      <c r="B190" s="7" t="inlineStr">
        <is>
          <t>Source &amp; Channel / Qualification: Rating and Score tables (Qualification &amp; Conversion) have no drill-down links, unlike the other tables</t>
        </is>
      </c>
      <c r="C190" s="7" t="inlineStr">
        <is>
          <t>Lead Reports workbook (Observations)</t>
        </is>
      </c>
      <c r="D190" s="7" t="inlineStr">
        <is>
          <t>Lead Reports</t>
        </is>
      </c>
      <c r="E190" s="8" t="inlineStr">
        <is>
          <t>REQ-LR-16</t>
        </is>
      </c>
      <c r="F190" s="8" t="n"/>
      <c r="G190" s="7" t="inlineStr">
        <is>
          <t>Yes</t>
        </is>
      </c>
      <c r="H190" s="7" t="inlineStr">
        <is>
          <t>tests/lead-reports/observations.spec.ts</t>
        </is>
      </c>
      <c r="I190" s="8" t="inlineStr">
        <is>
          <t>Pass</t>
        </is>
      </c>
      <c r="J190" s="8" t="n"/>
      <c r="K190" s="7" t="n"/>
    </row>
    <row r="191">
      <c r="A191" s="7" t="inlineStr">
        <is>
          <t>LR-OBS-05</t>
        </is>
      </c>
      <c r="B191" s="7" t="inlineStr">
        <is>
          <t>Filters: Filters are not kept in the URL and reset on reload (the tab is kept).</t>
        </is>
      </c>
      <c r="C191" s="7" t="inlineStr">
        <is>
          <t>Lead Reports workbook (Observations)</t>
        </is>
      </c>
      <c r="D191" s="7" t="inlineStr">
        <is>
          <t>Lead Reports</t>
        </is>
      </c>
      <c r="E191" s="8" t="inlineStr">
        <is>
          <t>REQ-LR-16</t>
        </is>
      </c>
      <c r="F191" s="8" t="n"/>
      <c r="G191" s="7" t="inlineStr">
        <is>
          <t>Yes</t>
        </is>
      </c>
      <c r="H191" s="7" t="inlineStr">
        <is>
          <t>tests/lead-reports/observations.spec.ts</t>
        </is>
      </c>
      <c r="I191" s="8" t="inlineStr">
        <is>
          <t>Pass</t>
        </is>
      </c>
      <c r="J191" s="8" t="n"/>
      <c r="K191" s="7" t="n"/>
    </row>
    <row r="192">
      <c r="A192" s="7" t="inlineStr">
        <is>
          <t>LR-OBS-06</t>
        </is>
      </c>
      <c r="B192" s="7" t="inlineStr">
        <is>
          <t>Filters: Salesperson dropdown lists "Mahalakshmi" twice (two users with the same name).</t>
        </is>
      </c>
      <c r="C192" s="7" t="inlineStr">
        <is>
          <t>Lead Reports workbook (Observations)</t>
        </is>
      </c>
      <c r="D192" s="7" t="inlineStr">
        <is>
          <t>Lead Reports</t>
        </is>
      </c>
      <c r="E192" s="8" t="inlineStr">
        <is>
          <t>REQ-LR-16</t>
        </is>
      </c>
      <c r="F192" s="8" t="n"/>
      <c r="G192" s="7" t="inlineStr">
        <is>
          <t>Yes</t>
        </is>
      </c>
      <c r="H192" s="7" t="inlineStr">
        <is>
          <t>tests/lead-reports/observations.spec.ts</t>
        </is>
      </c>
      <c r="I192" s="8" t="inlineStr">
        <is>
          <t>Fail</t>
        </is>
      </c>
      <c r="J192" s="8" t="inlineStr">
        <is>
          <t>DEF-15</t>
        </is>
      </c>
      <c r="K192" s="7" t="inlineStr">
        <is>
          <t>Error: Salesperson names that appear more than once</t>
        </is>
      </c>
    </row>
    <row r="193">
      <c r="A193" s="7" t="inlineStr">
        <is>
          <t>LR-OBS-07</t>
        </is>
      </c>
      <c r="B193" s="7" t="inlineStr">
        <is>
          <t>Drill-down: Lists over 500 leads show only the first 500 ("showing the first 500").</t>
        </is>
      </c>
      <c r="C193" s="7" t="inlineStr">
        <is>
          <t>Lead Reports workbook (Observations)</t>
        </is>
      </c>
      <c r="D193" s="7" t="inlineStr">
        <is>
          <t>Lead Reports</t>
        </is>
      </c>
      <c r="E193" s="8" t="inlineStr">
        <is>
          <t>REQ-LR-16</t>
        </is>
      </c>
      <c r="F193" s="8" t="n"/>
      <c r="G193" s="7" t="inlineStr">
        <is>
          <t>Yes</t>
        </is>
      </c>
      <c r="H193" s="7" t="inlineStr">
        <is>
          <t>tests/lead-reports/observations.spec.ts</t>
        </is>
      </c>
      <c r="I193" s="8" t="inlineStr">
        <is>
          <t>Pass</t>
        </is>
      </c>
      <c r="J193" s="8" t="n"/>
      <c r="K193" s="7" t="n"/>
    </row>
    <row r="194">
      <c r="A194" s="7" t="inlineStr">
        <is>
          <t>LR-OBS-08</t>
        </is>
      </c>
      <c r="B194" s="7" t="inlineStr">
        <is>
          <t>Exports: Export headers differ from the screen ("Qualification %" vs "Qual</t>
        </is>
      </c>
      <c r="C194" s="7" t="inlineStr">
        <is>
          <t>Lead Reports workbook (Observations)</t>
        </is>
      </c>
      <c r="D194" s="7" t="inlineStr">
        <is>
          <t>Lead Reports</t>
        </is>
      </c>
      <c r="E194" s="8" t="inlineStr">
        <is>
          <t>REQ-LR-16</t>
        </is>
      </c>
      <c r="F194" s="8" t="n"/>
      <c r="G194" s="7" t="inlineStr">
        <is>
          <t>Yes</t>
        </is>
      </c>
      <c r="H194" s="7" t="inlineStr">
        <is>
          <t>tests/lead-reports/observations.spec.ts</t>
        </is>
      </c>
      <c r="I194" s="8" t="inlineStr">
        <is>
          <t>Pass</t>
        </is>
      </c>
      <c r="J194" s="8" t="n"/>
      <c r="K194" s="7" t="n"/>
    </row>
    <row r="195">
      <c r="A195" s="7" t="inlineStr">
        <is>
          <t>LR-OBS-09</t>
        </is>
      </c>
      <c r="B195" s="7" t="inlineStr">
        <is>
          <t>Qualification &amp; Conversion: Avg First Contact mixes hours and days ("46.4 h", "85.9 d").</t>
        </is>
      </c>
      <c r="C195" s="7" t="inlineStr">
        <is>
          <t>Lead Reports workbook (Observations)</t>
        </is>
      </c>
      <c r="D195" s="7" t="inlineStr">
        <is>
          <t>Lead Reports</t>
        </is>
      </c>
      <c r="E195" s="8" t="inlineStr">
        <is>
          <t>REQ-LR-16</t>
        </is>
      </c>
      <c r="F195" s="8" t="n"/>
      <c r="G195" s="7" t="inlineStr">
        <is>
          <t>Yes</t>
        </is>
      </c>
      <c r="H195" s="7" t="inlineStr">
        <is>
          <t>tests/lead-reports/observations.spec.ts</t>
        </is>
      </c>
      <c r="I195" s="8" t="inlineStr">
        <is>
          <t>Fail</t>
        </is>
      </c>
      <c r="J195" s="8" t="inlineStr">
        <is>
          <t>DEF-14</t>
        </is>
      </c>
      <c r="K195" s="7" t="inlineStr">
        <is>
          <t>Error: Values in an unexpected unit (≥ 24 h shown in hours, &lt; 1 d in days)</t>
        </is>
      </c>
    </row>
    <row r="196">
      <c r="A196" s="7" t="inlineStr">
        <is>
          <t>LR-OBS-10</t>
        </is>
      </c>
      <c r="B196" s="7" t="inlineStr">
        <is>
          <t>Data quality: 572 of 613 leads have no Lead Source ("Unspecified"); Data Completeness shows Lead source recorded 6.7%.</t>
        </is>
      </c>
      <c r="C196" s="7" t="inlineStr">
        <is>
          <t>Lead Reports workbook (Observations)</t>
        </is>
      </c>
      <c r="D196" s="7" t="inlineStr">
        <is>
          <t>Lead Reports</t>
        </is>
      </c>
      <c r="E196" s="8" t="inlineStr">
        <is>
          <t>REQ-LR-16</t>
        </is>
      </c>
      <c r="F196" s="8" t="n"/>
      <c r="G196" s="7" t="inlineStr">
        <is>
          <t>Yes</t>
        </is>
      </c>
      <c r="H196" s="7" t="inlineStr">
        <is>
          <t>tests/lead-reports/observations.spec.ts</t>
        </is>
      </c>
      <c r="I196" s="8" t="inlineStr">
        <is>
          <t>Pass</t>
        </is>
      </c>
      <c r="J196" s="8" t="n"/>
      <c r="K196" s="7" t="n"/>
    </row>
    <row r="197">
      <c r="A197" s="7" t="inlineStr">
        <is>
          <t>LR-OBS-11</t>
        </is>
      </c>
      <c r="B197" s="7" t="inlineStr">
        <is>
          <t>Tabs: Browser Back after switching tabs returned to Overview &amp; Funnel instead of the previous tab.</t>
        </is>
      </c>
      <c r="C197" s="7" t="inlineStr">
        <is>
          <t>Lead Reports workbook (Observations)</t>
        </is>
      </c>
      <c r="D197" s="7" t="inlineStr">
        <is>
          <t>Lead Reports</t>
        </is>
      </c>
      <c r="E197" s="8" t="inlineStr">
        <is>
          <t>REQ-LR-16</t>
        </is>
      </c>
      <c r="F197" s="8" t="n"/>
      <c r="G197" s="7" t="inlineStr">
        <is>
          <t>Yes</t>
        </is>
      </c>
      <c r="H197" s="7" t="inlineStr">
        <is>
          <t>tests/lead-reports/observations.spec.ts</t>
        </is>
      </c>
      <c r="I197" s="8" t="inlineStr">
        <is>
          <t>Pass</t>
        </is>
      </c>
      <c r="J197" s="8" t="n"/>
      <c r="K197" s="7" t="n"/>
    </row>
    <row r="198">
      <c r="A198" s="7" t="inlineStr">
        <is>
          <t>LR-OBS-12</t>
        </is>
      </c>
      <c r="B198" s="7" t="inlineStr">
        <is>
          <t>Tables: Table column headers are not sortable on any tab.</t>
        </is>
      </c>
      <c r="C198" s="7" t="inlineStr">
        <is>
          <t>Lead Reports workbook (Observations)</t>
        </is>
      </c>
      <c r="D198" s="7" t="inlineStr">
        <is>
          <t>Lead Reports</t>
        </is>
      </c>
      <c r="E198" s="8" t="inlineStr">
        <is>
          <t>REQ-LR-16</t>
        </is>
      </c>
      <c r="F198" s="8" t="n"/>
      <c r="G198" s="7" t="inlineStr">
        <is>
          <t>Yes</t>
        </is>
      </c>
      <c r="H198" s="7" t="inlineStr">
        <is>
          <t>tests/lead-reports/observations.spec.ts</t>
        </is>
      </c>
      <c r="I198" s="8" t="inlineStr">
        <is>
          <t>Pass</t>
        </is>
      </c>
      <c r="J198" s="8" t="n"/>
      <c r="K198" s="7" t="n"/>
    </row>
    <row r="199">
      <c r="A199" s="7" t="inlineStr">
        <is>
          <t>LR-OBS-13</t>
        </is>
      </c>
      <c r="B199" s="7" t="inlineStr">
        <is>
          <t>Drill-down / data: 71 leads with status "Contacted" have no First Contact date: the Contacted list and export show "—" in First C</t>
        </is>
      </c>
      <c r="C199" s="7" t="inlineStr">
        <is>
          <t>Lead Reports workbook (Observations)</t>
        </is>
      </c>
      <c r="D199" s="7" t="inlineStr">
        <is>
          <t>Lead Reports</t>
        </is>
      </c>
      <c r="E199" s="8" t="inlineStr">
        <is>
          <t>REQ-LR-16</t>
        </is>
      </c>
      <c r="F199" s="8" t="n"/>
      <c r="G199" s="7" t="inlineStr">
        <is>
          <t>Yes</t>
        </is>
      </c>
      <c r="H199" s="7" t="inlineStr">
        <is>
          <t>tests/lead-reports/observations.spec.ts</t>
        </is>
      </c>
      <c r="I199" s="8" t="inlineStr">
        <is>
          <t>Fail</t>
        </is>
      </c>
      <c r="J199" s="8" t="inlineStr">
        <is>
          <t>DEF-16</t>
        </is>
      </c>
      <c r="K199" s="7" t="inlineStr">
        <is>
          <t>Error: Contacted leads without a First Contact date</t>
        </is>
      </c>
    </row>
    <row r="200">
      <c r="A200" s="7" t="inlineStr">
        <is>
          <t>LR-042</t>
        </is>
      </c>
      <c r="B200" s="7" t="inlineStr">
        <is>
          <t>All 8 KPI cards are shown</t>
        </is>
      </c>
      <c r="C200" s="7" t="inlineStr">
        <is>
          <t>Lead Reports workbook</t>
        </is>
      </c>
      <c r="D200" s="7" t="inlineStr">
        <is>
          <t>Lead Reports</t>
        </is>
      </c>
      <c r="E200" s="8" t="inlineStr">
        <is>
          <t>REQ-LR-07</t>
        </is>
      </c>
      <c r="F200" s="8" t="inlineStr">
        <is>
          <t>High</t>
        </is>
      </c>
      <c r="G200" s="7" t="inlineStr">
        <is>
          <t>Yes</t>
        </is>
      </c>
      <c r="H200" s="7" t="inlineStr">
        <is>
          <t>tests/lead-reports/overview.spec.ts</t>
        </is>
      </c>
      <c r="I200" s="8" t="inlineStr">
        <is>
          <t>Pass</t>
        </is>
      </c>
      <c r="J200" s="8" t="n"/>
      <c r="K200" s="7" t="n"/>
    </row>
    <row r="201">
      <c r="A201" s="7" t="inlineStr">
        <is>
          <t>LR-043</t>
        </is>
      </c>
      <c r="B201" s="7" t="inlineStr">
        <is>
          <t>Leads Captured count opens its leads</t>
        </is>
      </c>
      <c r="C201" s="7" t="inlineStr">
        <is>
          <t>Lead Reports workbook</t>
        </is>
      </c>
      <c r="D201" s="7" t="inlineStr">
        <is>
          <t>Lead Reports</t>
        </is>
      </c>
      <c r="E201" s="8" t="inlineStr">
        <is>
          <t>REQ-LR-07</t>
        </is>
      </c>
      <c r="F201" s="8" t="inlineStr">
        <is>
          <t>High</t>
        </is>
      </c>
      <c r="G201" s="7" t="inlineStr">
        <is>
          <t>Yes</t>
        </is>
      </c>
      <c r="H201" s="7" t="inlineStr">
        <is>
          <t>tests/lead-reports/overview.spec.ts</t>
        </is>
      </c>
      <c r="I201" s="8" t="inlineStr">
        <is>
          <t>Pass</t>
        </is>
      </c>
      <c r="J201" s="8" t="n"/>
      <c r="K201" s="7" t="n"/>
    </row>
    <row r="202">
      <c r="A202" s="7" t="inlineStr">
        <is>
          <t>LR-044</t>
        </is>
      </c>
      <c r="B202" s="7" t="inlineStr">
        <is>
          <t>Contact Rate = Contacted ÷ Leads Captured</t>
        </is>
      </c>
      <c r="C202" s="7" t="inlineStr">
        <is>
          <t>Lead Reports workbook</t>
        </is>
      </c>
      <c r="D202" s="7" t="inlineStr">
        <is>
          <t>Lead Reports</t>
        </is>
      </c>
      <c r="E202" s="8" t="inlineStr">
        <is>
          <t>REQ-LR-07</t>
        </is>
      </c>
      <c r="F202" s="8" t="inlineStr">
        <is>
          <t>High</t>
        </is>
      </c>
      <c r="G202" s="7" t="inlineStr">
        <is>
          <t>Yes</t>
        </is>
      </c>
      <c r="H202" s="7" t="inlineStr">
        <is>
          <t>tests/lead-reports/overview.spec.ts</t>
        </is>
      </c>
      <c r="I202" s="8" t="inlineStr">
        <is>
          <t>Pass</t>
        </is>
      </c>
      <c r="J202" s="8" t="n"/>
      <c r="K202" s="7" t="n"/>
    </row>
    <row r="203">
      <c r="A203" s="7" t="inlineStr">
        <is>
          <t>LR-045</t>
        </is>
      </c>
      <c r="B203" s="7" t="inlineStr">
        <is>
          <t>Qualification Rate = Qualified ÷ Leads Captured</t>
        </is>
      </c>
      <c r="C203" s="7" t="inlineStr">
        <is>
          <t>Lead Reports workbook</t>
        </is>
      </c>
      <c r="D203" s="7" t="inlineStr">
        <is>
          <t>Lead Reports</t>
        </is>
      </c>
      <c r="E203" s="8" t="inlineStr">
        <is>
          <t>REQ-LR-07</t>
        </is>
      </c>
      <c r="F203" s="8" t="inlineStr">
        <is>
          <t>High</t>
        </is>
      </c>
      <c r="G203" s="7" t="inlineStr">
        <is>
          <t>Yes</t>
        </is>
      </c>
      <c r="H203" s="7" t="inlineStr">
        <is>
          <t>tests/lead-reports/overview.spec.ts</t>
        </is>
      </c>
      <c r="I203" s="8" t="inlineStr">
        <is>
          <t>Pass</t>
        </is>
      </c>
      <c r="J203" s="8" t="n"/>
      <c r="K203" s="7" t="n"/>
    </row>
    <row r="204">
      <c r="A204" s="7" t="inlineStr">
        <is>
          <t>LR-046</t>
        </is>
      </c>
      <c r="B204" s="7" t="inlineStr">
        <is>
          <t>Opportunity Conversion = Converted ÷ Leads Captured</t>
        </is>
      </c>
      <c r="C204" s="7" t="inlineStr">
        <is>
          <t>Lead Reports workbook</t>
        </is>
      </c>
      <c r="D204" s="7" t="inlineStr">
        <is>
          <t>Lead Reports</t>
        </is>
      </c>
      <c r="E204" s="8" t="inlineStr">
        <is>
          <t>REQ-LR-07</t>
        </is>
      </c>
      <c r="F204" s="8" t="inlineStr">
        <is>
          <t>High</t>
        </is>
      </c>
      <c r="G204" s="7" t="inlineStr">
        <is>
          <t>Yes</t>
        </is>
      </c>
      <c r="H204" s="7" t="inlineStr">
        <is>
          <t>tests/lead-reports/overview.spec.ts</t>
        </is>
      </c>
      <c r="I204" s="8" t="inlineStr">
        <is>
          <t>Pass</t>
        </is>
      </c>
      <c r="J204" s="8" t="n"/>
      <c r="K204" s="7" t="n"/>
    </row>
    <row r="205">
      <c r="A205" s="7" t="inlineStr">
        <is>
          <t>LR-047</t>
        </is>
      </c>
      <c r="B205" s="7" t="inlineStr">
        <is>
          <t>SPA Signed count opens its leads; Win rate is correct</t>
        </is>
      </c>
      <c r="C205" s="7" t="inlineStr">
        <is>
          <t>Lead Reports workbook</t>
        </is>
      </c>
      <c r="D205" s="7" t="inlineStr">
        <is>
          <t>Lead Reports</t>
        </is>
      </c>
      <c r="E205" s="8" t="inlineStr">
        <is>
          <t>REQ-LR-07</t>
        </is>
      </c>
      <c r="F205" s="8" t="inlineStr">
        <is>
          <t>High</t>
        </is>
      </c>
      <c r="G205" s="7" t="inlineStr">
        <is>
          <t>Yes</t>
        </is>
      </c>
      <c r="H205" s="7" t="inlineStr">
        <is>
          <t>tests/lead-reports/overview.spec.ts</t>
        </is>
      </c>
      <c r="I205" s="8" t="inlineStr">
        <is>
          <t>Pass</t>
        </is>
      </c>
      <c r="J205" s="8" t="n"/>
      <c r="K205" s="7" t="n"/>
    </row>
    <row r="206">
      <c r="A206" s="7" t="inlineStr">
        <is>
          <t>LR-048</t>
        </is>
      </c>
      <c r="B206" s="7" t="inlineStr">
        <is>
          <t>Won Value is shown in base currency</t>
        </is>
      </c>
      <c r="C206" s="7" t="inlineStr">
        <is>
          <t>Lead Reports workbook</t>
        </is>
      </c>
      <c r="D206" s="7" t="inlineStr">
        <is>
          <t>Lead Reports</t>
        </is>
      </c>
      <c r="E206" s="8" t="inlineStr">
        <is>
          <t>REQ-LR-07</t>
        </is>
      </c>
      <c r="F206" s="8" t="inlineStr">
        <is>
          <t>Medium</t>
        </is>
      </c>
      <c r="G206" s="7" t="inlineStr">
        <is>
          <t>Yes</t>
        </is>
      </c>
      <c r="H206" s="7" t="inlineStr">
        <is>
          <t>tests/lead-reports/overview.spec.ts</t>
        </is>
      </c>
      <c r="I206" s="8" t="inlineStr">
        <is>
          <t>Pass</t>
        </is>
      </c>
      <c r="J206" s="8" t="n"/>
      <c r="K206" s="7" t="n"/>
    </row>
    <row r="207">
      <c r="A207" s="7" t="inlineStr">
        <is>
          <t>LR-049</t>
        </is>
      </c>
      <c r="B207" s="7" t="inlineStr">
        <is>
          <t>Average time to first contact</t>
        </is>
      </c>
      <c r="C207" s="7" t="inlineStr">
        <is>
          <t>Lead Reports workbook</t>
        </is>
      </c>
      <c r="D207" s="7" t="inlineStr">
        <is>
          <t>Lead Reports</t>
        </is>
      </c>
      <c r="E207" s="8" t="inlineStr">
        <is>
          <t>REQ-LR-07</t>
        </is>
      </c>
      <c r="F207" s="8" t="inlineStr">
        <is>
          <t>Medium</t>
        </is>
      </c>
      <c r="G207" s="7" t="inlineStr">
        <is>
          <t>Yes</t>
        </is>
      </c>
      <c r="H207" s="7" t="inlineStr">
        <is>
          <t>tests/lead-reports/overview.spec.ts</t>
        </is>
      </c>
      <c r="I207" s="8" t="inlineStr">
        <is>
          <t>Pass</t>
        </is>
      </c>
      <c r="J207" s="8" t="n"/>
      <c r="K207" s="7" t="n"/>
    </row>
    <row r="208">
      <c r="A208" s="7" t="inlineStr">
        <is>
          <t>LR-050</t>
        </is>
      </c>
      <c r="B208" s="7" t="inlineStr">
        <is>
          <t>Open Leads Now count opens today's open leads</t>
        </is>
      </c>
      <c r="C208" s="7" t="inlineStr">
        <is>
          <t>Lead Reports workbook</t>
        </is>
      </c>
      <c r="D208" s="7" t="inlineStr">
        <is>
          <t>Lead Reports</t>
        </is>
      </c>
      <c r="E208" s="8" t="inlineStr">
        <is>
          <t>REQ-LR-07</t>
        </is>
      </c>
      <c r="F208" s="8" t="inlineStr">
        <is>
          <t>High</t>
        </is>
      </c>
      <c r="G208" s="7" t="inlineStr">
        <is>
          <t>Yes</t>
        </is>
      </c>
      <c r="H208" s="7" t="inlineStr">
        <is>
          <t>tests/lead-reports/overview.spec.ts</t>
        </is>
      </c>
      <c r="I208" s="8" t="inlineStr">
        <is>
          <t>Pass</t>
        </is>
      </c>
      <c r="J208" s="8" t="n"/>
      <c r="K208" s="7" t="n"/>
    </row>
    <row r="209">
      <c r="A209" s="7" t="inlineStr">
        <is>
          <t>LR-051</t>
        </is>
      </c>
      <c r="B209" s="7" t="inlineStr">
        <is>
          <t>"idle over 30 days" link opens those leads</t>
        </is>
      </c>
      <c r="C209" s="7" t="inlineStr">
        <is>
          <t>Lead Reports workbook</t>
        </is>
      </c>
      <c r="D209" s="7" t="inlineStr">
        <is>
          <t>Lead Reports</t>
        </is>
      </c>
      <c r="E209" s="8" t="inlineStr">
        <is>
          <t>REQ-LR-07</t>
        </is>
      </c>
      <c r="F209" s="8" t="inlineStr">
        <is>
          <t>High</t>
        </is>
      </c>
      <c r="G209" s="7" t="inlineStr">
        <is>
          <t>Yes</t>
        </is>
      </c>
      <c r="H209" s="7" t="inlineStr">
        <is>
          <t>tests/lead-reports/overview.spec.ts</t>
        </is>
      </c>
      <c r="I209" s="8" t="inlineStr">
        <is>
          <t>Pass</t>
        </is>
      </c>
      <c r="J209" s="8" t="n"/>
      <c r="K209" s="7" t="n"/>
    </row>
    <row r="210">
      <c r="A210" s="7" t="inlineStr">
        <is>
          <t>LR-052</t>
        </is>
      </c>
      <c r="B210" s="7" t="inlineStr">
        <is>
          <t>"never contacted" link opens those leads</t>
        </is>
      </c>
      <c r="C210" s="7" t="inlineStr">
        <is>
          <t>Lead Reports workbook</t>
        </is>
      </c>
      <c r="D210" s="7" t="inlineStr">
        <is>
          <t>Lead Reports</t>
        </is>
      </c>
      <c r="E210" s="8" t="inlineStr">
        <is>
          <t>REQ-LR-07</t>
        </is>
      </c>
      <c r="F210" s="8" t="inlineStr">
        <is>
          <t>High</t>
        </is>
      </c>
      <c r="G210" s="7" t="inlineStr">
        <is>
          <t>Yes</t>
        </is>
      </c>
      <c r="H210" s="7" t="inlineStr">
        <is>
          <t>tests/lead-reports/overview.spec.ts</t>
        </is>
      </c>
      <c r="I210" s="8" t="inlineStr">
        <is>
          <t>Pass</t>
        </is>
      </c>
      <c r="J210" s="8" t="n"/>
      <c r="K210" s="7" t="n"/>
    </row>
    <row r="211">
      <c r="A211" s="7" t="inlineStr">
        <is>
          <t>LR-053</t>
        </is>
      </c>
      <c r="B211" s="7" t="inlineStr">
        <is>
          <t>Rate, value and time cards are not clickable</t>
        </is>
      </c>
      <c r="C211" s="7" t="inlineStr">
        <is>
          <t>Lead Reports workbook</t>
        </is>
      </c>
      <c r="D211" s="7" t="inlineStr">
        <is>
          <t>Lead Reports</t>
        </is>
      </c>
      <c r="E211" s="8" t="inlineStr">
        <is>
          <t>REQ-LR-07</t>
        </is>
      </c>
      <c r="F211" s="8" t="inlineStr">
        <is>
          <t>Low</t>
        </is>
      </c>
      <c r="G211" s="7" t="inlineStr">
        <is>
          <t>Yes</t>
        </is>
      </c>
      <c r="H211" s="7" t="inlineStr">
        <is>
          <t>tests/lead-reports/overview.spec.ts</t>
        </is>
      </c>
      <c r="I211" s="8" t="inlineStr">
        <is>
          <t>Pass</t>
        </is>
      </c>
      <c r="J211" s="8" t="n"/>
      <c r="K211" s="7" t="n"/>
    </row>
    <row r="212">
      <c r="A212" s="7" t="inlineStr">
        <is>
          <t>LR-054</t>
        </is>
      </c>
      <c r="B212" s="7" t="inlineStr">
        <is>
          <t>Funnel shows 6 steps in order</t>
        </is>
      </c>
      <c r="C212" s="7" t="inlineStr">
        <is>
          <t>Lead Reports workbook</t>
        </is>
      </c>
      <c r="D212" s="7" t="inlineStr">
        <is>
          <t>Lead Reports</t>
        </is>
      </c>
      <c r="E212" s="8" t="inlineStr">
        <is>
          <t>REQ-LR-08</t>
        </is>
      </c>
      <c r="F212" s="8" t="inlineStr">
        <is>
          <t>High</t>
        </is>
      </c>
      <c r="G212" s="7" t="inlineStr">
        <is>
          <t>Yes</t>
        </is>
      </c>
      <c r="H212" s="7" t="inlineStr">
        <is>
          <t>tests/lead-reports/overview.spec.ts</t>
        </is>
      </c>
      <c r="I212" s="8" t="inlineStr">
        <is>
          <t>Pass</t>
        </is>
      </c>
      <c r="J212" s="8" t="n"/>
      <c r="K212" s="7" t="n"/>
    </row>
    <row r="213">
      <c r="A213" s="7" t="inlineStr">
        <is>
          <t>LR-055</t>
        </is>
      </c>
      <c r="B213" s="7" t="inlineStr">
        <is>
          <t>Funnel counts never increase and rates are correct</t>
        </is>
      </c>
      <c r="C213" s="7" t="inlineStr">
        <is>
          <t>Lead Reports workbook</t>
        </is>
      </c>
      <c r="D213" s="7" t="inlineStr">
        <is>
          <t>Lead Reports</t>
        </is>
      </c>
      <c r="E213" s="8" t="inlineStr">
        <is>
          <t>REQ-LR-08</t>
        </is>
      </c>
      <c r="F213" s="8" t="inlineStr">
        <is>
          <t>High</t>
        </is>
      </c>
      <c r="G213" s="7" t="inlineStr">
        <is>
          <t>Yes</t>
        </is>
      </c>
      <c r="H213" s="7" t="inlineStr">
        <is>
          <t>tests/lead-reports/overview.spec.ts</t>
        </is>
      </c>
      <c r="I213" s="8" t="inlineStr">
        <is>
          <t>Pass</t>
        </is>
      </c>
      <c r="J213" s="8" t="n"/>
      <c r="K213" s="7" t="n"/>
    </row>
    <row r="214">
      <c r="A214" s="7" t="inlineStr">
        <is>
          <t>LR-056</t>
        </is>
      </c>
      <c r="B214" s="7" t="inlineStr">
        <is>
          <t>Funnel agrees with the KPI cards</t>
        </is>
      </c>
      <c r="C214" s="7" t="inlineStr">
        <is>
          <t>Lead Reports workbook</t>
        </is>
      </c>
      <c r="D214" s="7" t="inlineStr">
        <is>
          <t>Lead Reports</t>
        </is>
      </c>
      <c r="E214" s="8" t="inlineStr">
        <is>
          <t>REQ-LR-08</t>
        </is>
      </c>
      <c r="F214" s="8" t="inlineStr">
        <is>
          <t>High</t>
        </is>
      </c>
      <c r="G214" s="7" t="inlineStr">
        <is>
          <t>Yes</t>
        </is>
      </c>
      <c r="H214" s="7" t="inlineStr">
        <is>
          <t>tests/lead-reports/overview.spec.ts</t>
        </is>
      </c>
      <c r="I214" s="8" t="inlineStr">
        <is>
          <t>Pass</t>
        </is>
      </c>
      <c r="J214" s="8" t="n"/>
      <c r="K214" s="7" t="n"/>
    </row>
    <row r="215">
      <c r="A215" s="7" t="inlineStr">
        <is>
          <t>LR-057</t>
        </is>
      </c>
      <c r="B215" s="7" t="inlineStr">
        <is>
          <t>Funnel "Captured" count opens its leads</t>
        </is>
      </c>
      <c r="C215" s="7" t="inlineStr">
        <is>
          <t>Lead Reports workbook</t>
        </is>
      </c>
      <c r="D215" s="7" t="inlineStr">
        <is>
          <t>Lead Reports</t>
        </is>
      </c>
      <c r="E215" s="8" t="inlineStr">
        <is>
          <t>REQ-LR-08</t>
        </is>
      </c>
      <c r="F215" s="8" t="inlineStr">
        <is>
          <t>High</t>
        </is>
      </c>
      <c r="G215" s="7" t="inlineStr">
        <is>
          <t>Yes</t>
        </is>
      </c>
      <c r="H215" s="7" t="inlineStr">
        <is>
          <t>tests/lead-reports/overview.spec.ts</t>
        </is>
      </c>
      <c r="I215" s="8" t="inlineStr">
        <is>
          <t>Pass</t>
        </is>
      </c>
      <c r="J215" s="8" t="n"/>
      <c r="K215" s="7" t="n"/>
    </row>
    <row r="216">
      <c r="A216" s="7" t="inlineStr">
        <is>
          <t>LR-058</t>
        </is>
      </c>
      <c r="B216" s="7" t="inlineStr">
        <is>
          <t>Funnel "Contacted" count opens its leads</t>
        </is>
      </c>
      <c r="C216" s="7" t="inlineStr">
        <is>
          <t>Lead Reports workbook</t>
        </is>
      </c>
      <c r="D216" s="7" t="inlineStr">
        <is>
          <t>Lead Reports</t>
        </is>
      </c>
      <c r="E216" s="8" t="inlineStr">
        <is>
          <t>REQ-LR-08</t>
        </is>
      </c>
      <c r="F216" s="8" t="inlineStr">
        <is>
          <t>High</t>
        </is>
      </c>
      <c r="G216" s="7" t="inlineStr">
        <is>
          <t>Yes</t>
        </is>
      </c>
      <c r="H216" s="7" t="inlineStr">
        <is>
          <t>tests/lead-reports/overview.spec.ts</t>
        </is>
      </c>
      <c r="I216" s="8" t="inlineStr">
        <is>
          <t>Pass</t>
        </is>
      </c>
      <c r="J216" s="8" t="n"/>
      <c r="K216" s="7" t="n"/>
    </row>
    <row r="217">
      <c r="A217" s="7" t="inlineStr">
        <is>
          <t>LR-059</t>
        </is>
      </c>
      <c r="B217" s="7" t="inlineStr">
        <is>
          <t>Funnel "Qualified" count opens its leads</t>
        </is>
      </c>
      <c r="C217" s="7" t="inlineStr">
        <is>
          <t>Lead Reports workbook</t>
        </is>
      </c>
      <c r="D217" s="7" t="inlineStr">
        <is>
          <t>Lead Reports</t>
        </is>
      </c>
      <c r="E217" s="8" t="inlineStr">
        <is>
          <t>REQ-LR-08</t>
        </is>
      </c>
      <c r="F217" s="8" t="inlineStr">
        <is>
          <t>Medium</t>
        </is>
      </c>
      <c r="G217" s="7" t="inlineStr">
        <is>
          <t>Yes</t>
        </is>
      </c>
      <c r="H217" s="7" t="inlineStr">
        <is>
          <t>tests/lead-reports/overview.spec.ts</t>
        </is>
      </c>
      <c r="I217" s="8" t="inlineStr">
        <is>
          <t>Pass</t>
        </is>
      </c>
      <c r="J217" s="8" t="n"/>
      <c r="K217" s="7" t="n"/>
    </row>
    <row r="218">
      <c r="A218" s="7" t="inlineStr">
        <is>
          <t>LR-060</t>
        </is>
      </c>
      <c r="B218" s="7" t="inlineStr">
        <is>
          <t>Funnel "Opportunity" count opens its leads</t>
        </is>
      </c>
      <c r="C218" s="7" t="inlineStr">
        <is>
          <t>Lead Reports workbook</t>
        </is>
      </c>
      <c r="D218" s="7" t="inlineStr">
        <is>
          <t>Lead Reports</t>
        </is>
      </c>
      <c r="E218" s="8" t="inlineStr">
        <is>
          <t>REQ-LR-08</t>
        </is>
      </c>
      <c r="F218" s="8" t="inlineStr">
        <is>
          <t>Medium</t>
        </is>
      </c>
      <c r="G218" s="7" t="inlineStr">
        <is>
          <t>Yes</t>
        </is>
      </c>
      <c r="H218" s="7" t="inlineStr">
        <is>
          <t>tests/lead-reports/overview.spec.ts</t>
        </is>
      </c>
      <c r="I218" s="8" t="inlineStr">
        <is>
          <t>Pass</t>
        </is>
      </c>
      <c r="J218" s="8" t="n"/>
      <c r="K218" s="7" t="n"/>
    </row>
    <row r="219">
      <c r="A219" s="7" t="inlineStr">
        <is>
          <t>LR-061</t>
        </is>
      </c>
      <c r="B219" s="7" t="inlineStr">
        <is>
          <t>Funnel "Reserved" count opens its leads</t>
        </is>
      </c>
      <c r="C219" s="7" t="inlineStr">
        <is>
          <t>Lead Reports workbook</t>
        </is>
      </c>
      <c r="D219" s="7" t="inlineStr">
        <is>
          <t>Lead Reports</t>
        </is>
      </c>
      <c r="E219" s="8" t="inlineStr">
        <is>
          <t>REQ-LR-08</t>
        </is>
      </c>
      <c r="F219" s="8" t="inlineStr">
        <is>
          <t>Medium</t>
        </is>
      </c>
      <c r="G219" s="7" t="inlineStr">
        <is>
          <t>Yes</t>
        </is>
      </c>
      <c r="H219" s="7" t="inlineStr">
        <is>
          <t>tests/lead-reports/overview.spec.ts</t>
        </is>
      </c>
      <c r="I219" s="8" t="inlineStr">
        <is>
          <t>Pass</t>
        </is>
      </c>
      <c r="J219" s="8" t="n"/>
      <c r="K219" s="7" t="n"/>
    </row>
    <row r="220">
      <c r="A220" s="7" t="inlineStr">
        <is>
          <t>LR-062</t>
        </is>
      </c>
      <c r="B220" s="7" t="inlineStr">
        <is>
          <t>Funnel "SPA Signed" count opens its leads</t>
        </is>
      </c>
      <c r="C220" s="7" t="inlineStr">
        <is>
          <t>Lead Reports workbook</t>
        </is>
      </c>
      <c r="D220" s="7" t="inlineStr">
        <is>
          <t>Lead Reports</t>
        </is>
      </c>
      <c r="E220" s="8" t="inlineStr">
        <is>
          <t>REQ-LR-08</t>
        </is>
      </c>
      <c r="F220" s="8" t="inlineStr">
        <is>
          <t>Medium</t>
        </is>
      </c>
      <c r="G220" s="7" t="inlineStr">
        <is>
          <t>Yes</t>
        </is>
      </c>
      <c r="H220" s="7" t="inlineStr">
        <is>
          <t>tests/lead-reports/overview.spec.ts</t>
        </is>
      </c>
      <c r="I220" s="8" t="inlineStr">
        <is>
          <t>Pass</t>
        </is>
      </c>
      <c r="J220" s="8" t="n"/>
      <c r="K220" s="7" t="n"/>
    </row>
    <row r="221">
      <c r="A221" s="7" t="inlineStr">
        <is>
          <t>LR-063</t>
        </is>
      </c>
      <c r="B221" s="7" t="inlineStr">
        <is>
          <t>Funnel with no data</t>
        </is>
      </c>
      <c r="C221" s="7" t="inlineStr">
        <is>
          <t>Lead Reports workbook</t>
        </is>
      </c>
      <c r="D221" s="7" t="inlineStr">
        <is>
          <t>Lead Reports</t>
        </is>
      </c>
      <c r="E221" s="8" t="inlineStr">
        <is>
          <t>REQ-LR-08</t>
        </is>
      </c>
      <c r="F221" s="8" t="inlineStr">
        <is>
          <t>Medium</t>
        </is>
      </c>
      <c r="G221" s="7" t="inlineStr">
        <is>
          <t>Yes</t>
        </is>
      </c>
      <c r="H221" s="7" t="inlineStr">
        <is>
          <t>tests/lead-reports/overview.spec.ts</t>
        </is>
      </c>
      <c r="I221" s="8" t="inlineStr">
        <is>
          <t>Pass</t>
        </is>
      </c>
      <c r="J221" s="8" t="n"/>
      <c r="K221" s="7" t="n"/>
    </row>
    <row r="222">
      <c r="A222" s="7" t="inlineStr">
        <is>
          <t>LR-064</t>
        </is>
      </c>
      <c r="B222" s="7" t="inlineStr">
        <is>
          <t>Data Completeness rows are correct</t>
        </is>
      </c>
      <c r="C222" s="7" t="inlineStr">
        <is>
          <t>Lead Reports workbook</t>
        </is>
      </c>
      <c r="D222" s="7" t="inlineStr">
        <is>
          <t>Lead Reports</t>
        </is>
      </c>
      <c r="E222" s="8" t="inlineStr">
        <is>
          <t>REQ-LR-08</t>
        </is>
      </c>
      <c r="F222" s="8" t="inlineStr">
        <is>
          <t>Medium</t>
        </is>
      </c>
      <c r="G222" s="7" t="inlineStr">
        <is>
          <t>Yes</t>
        </is>
      </c>
      <c r="H222" s="7" t="inlineStr">
        <is>
          <t>tests/lead-reports/overview.spec.ts</t>
        </is>
      </c>
      <c r="I222" s="8" t="inlineStr">
        <is>
          <t>Pass</t>
        </is>
      </c>
      <c r="J222" s="8" t="n"/>
      <c r="K222" s="7" t="n"/>
    </row>
    <row r="223">
      <c r="A223" s="7" t="inlineStr">
        <is>
          <t>LR-065</t>
        </is>
      </c>
      <c r="B223" s="7" t="inlineStr">
        <is>
          <t>Data Completeness follows the filters</t>
        </is>
      </c>
      <c r="C223" s="7" t="inlineStr">
        <is>
          <t>Lead Reports workbook</t>
        </is>
      </c>
      <c r="D223" s="7" t="inlineStr">
        <is>
          <t>Lead Reports</t>
        </is>
      </c>
      <c r="E223" s="8" t="inlineStr">
        <is>
          <t>REQ-LR-08</t>
        </is>
      </c>
      <c r="F223" s="8" t="inlineStr">
        <is>
          <t>Medium</t>
        </is>
      </c>
      <c r="G223" s="7" t="inlineStr">
        <is>
          <t>Yes</t>
        </is>
      </c>
      <c r="H223" s="7" t="inlineStr">
        <is>
          <t>tests/lead-reports/overview.spec.ts</t>
        </is>
      </c>
      <c r="I223" s="8" t="inlineStr">
        <is>
          <t>Pass</t>
        </is>
      </c>
      <c r="J223" s="8" t="n"/>
      <c r="K223" s="7" t="n"/>
    </row>
    <row r="224">
      <c r="A224" s="7" t="inlineStr">
        <is>
          <t>LR-066</t>
        </is>
      </c>
      <c r="B224" s="7" t="inlineStr">
        <is>
          <t>Trend shows the last 12 months</t>
        </is>
      </c>
      <c r="C224" s="7" t="inlineStr">
        <is>
          <t>Lead Reports workbook</t>
        </is>
      </c>
      <c r="D224" s="7" t="inlineStr">
        <is>
          <t>Lead Reports</t>
        </is>
      </c>
      <c r="E224" s="8" t="inlineStr">
        <is>
          <t>REQ-LR-08</t>
        </is>
      </c>
      <c r="F224" s="8" t="inlineStr">
        <is>
          <t>Medium</t>
        </is>
      </c>
      <c r="G224" s="7" t="inlineStr">
        <is>
          <t>Yes</t>
        </is>
      </c>
      <c r="H224" s="7" t="inlineStr">
        <is>
          <t>tests/lead-reports/overview.spec.ts</t>
        </is>
      </c>
      <c r="I224" s="8" t="inlineStr">
        <is>
          <t>Pass</t>
        </is>
      </c>
      <c r="J224" s="8" t="n"/>
      <c r="K224" s="7" t="n"/>
    </row>
    <row r="225">
      <c r="A225" s="7" t="inlineStr">
        <is>
          <t>LR-067</t>
        </is>
      </c>
      <c r="B225" s="7" t="inlineStr">
        <is>
          <t>Trend totals match Leads Captured</t>
        </is>
      </c>
      <c r="C225" s="7" t="inlineStr">
        <is>
          <t>Lead Reports workbook</t>
        </is>
      </c>
      <c r="D225" s="7" t="inlineStr">
        <is>
          <t>Lead Reports</t>
        </is>
      </c>
      <c r="E225" s="8" t="inlineStr">
        <is>
          <t>REQ-LR-08</t>
        </is>
      </c>
      <c r="F225" s="8" t="inlineStr">
        <is>
          <t>High</t>
        </is>
      </c>
      <c r="G225" s="7" t="inlineStr">
        <is>
          <t>Yes</t>
        </is>
      </c>
      <c r="H225" s="7" t="inlineStr">
        <is>
          <t>tests/lead-reports/overview.spec.ts</t>
        </is>
      </c>
      <c r="I225" s="8" t="inlineStr">
        <is>
          <t>Pass</t>
        </is>
      </c>
      <c r="J225" s="8" t="n"/>
      <c r="K225" s="7" t="n"/>
    </row>
    <row r="226">
      <c r="A226" s="7" t="inlineStr">
        <is>
          <t>LR-117</t>
        </is>
      </c>
      <c r="B226" s="7" t="inlineStr">
        <is>
          <t>Time-to-stage cards</t>
        </is>
      </c>
      <c r="C226" s="7" t="inlineStr">
        <is>
          <t>Lead Reports workbook</t>
        </is>
      </c>
      <c r="D226" s="7" t="inlineStr">
        <is>
          <t>Lead Reports</t>
        </is>
      </c>
      <c r="E226" s="8" t="inlineStr">
        <is>
          <t>REQ-LR-12</t>
        </is>
      </c>
      <c r="F226" s="8" t="inlineStr">
        <is>
          <t>Medium</t>
        </is>
      </c>
      <c r="G226" s="7" t="inlineStr">
        <is>
          <t>Yes</t>
        </is>
      </c>
      <c r="H226" s="7" t="inlineStr">
        <is>
          <t>tests/lead-reports/qualification.spec.ts</t>
        </is>
      </c>
      <c r="I226" s="8" t="inlineStr">
        <is>
          <t>Pass</t>
        </is>
      </c>
      <c r="J226" s="8" t="n"/>
      <c r="K226" s="7" t="n"/>
    </row>
    <row r="227">
      <c r="A227" s="7" t="inlineStr">
        <is>
          <t>LR-118</t>
        </is>
      </c>
      <c r="B227" s="7" t="inlineStr">
        <is>
          <t>First-contact average matches Overview</t>
        </is>
      </c>
      <c r="C227" s="7" t="inlineStr">
        <is>
          <t>Lead Reports workbook</t>
        </is>
      </c>
      <c r="D227" s="7" t="inlineStr">
        <is>
          <t>Lead Reports</t>
        </is>
      </c>
      <c r="E227" s="8" t="inlineStr">
        <is>
          <t>REQ-LR-12</t>
        </is>
      </c>
      <c r="F227" s="8" t="inlineStr">
        <is>
          <t>Medium</t>
        </is>
      </c>
      <c r="G227" s="7" t="inlineStr">
        <is>
          <t>Yes</t>
        </is>
      </c>
      <c r="H227" s="7" t="inlineStr">
        <is>
          <t>tests/lead-reports/qualification.spec.ts</t>
        </is>
      </c>
      <c r="I227" s="8" t="inlineStr">
        <is>
          <t>Pass</t>
        </is>
      </c>
      <c r="J227" s="8" t="n"/>
      <c r="K227" s="7" t="n"/>
    </row>
    <row r="228">
      <c r="A228" s="7" t="inlineStr">
        <is>
          <t>LR-119</t>
        </is>
      </c>
      <c r="B228" s="7" t="inlineStr">
        <is>
          <t>Rating table adds up</t>
        </is>
      </c>
      <c r="C228" s="7" t="inlineStr">
        <is>
          <t>Lead Reports workbook</t>
        </is>
      </c>
      <c r="D228" s="7" t="inlineStr">
        <is>
          <t>Lead Reports</t>
        </is>
      </c>
      <c r="E228" s="8" t="inlineStr">
        <is>
          <t>REQ-LR-12</t>
        </is>
      </c>
      <c r="F228" s="8" t="inlineStr">
        <is>
          <t>High</t>
        </is>
      </c>
      <c r="G228" s="7" t="inlineStr">
        <is>
          <t>Yes</t>
        </is>
      </c>
      <c r="H228" s="7" t="inlineStr">
        <is>
          <t>tests/lead-reports/qualification.spec.ts</t>
        </is>
      </c>
      <c r="I228" s="8" t="inlineStr">
        <is>
          <t>Pass</t>
        </is>
      </c>
      <c r="J228" s="8" t="n"/>
      <c r="K228" s="7" t="n"/>
    </row>
    <row r="229">
      <c r="A229" s="7" t="inlineStr">
        <is>
          <t>LR-120</t>
        </is>
      </c>
      <c r="B229" s="7" t="inlineStr">
        <is>
          <t>Score bands add up</t>
        </is>
      </c>
      <c r="C229" s="7" t="inlineStr">
        <is>
          <t>Lead Reports workbook</t>
        </is>
      </c>
      <c r="D229" s="7" t="inlineStr">
        <is>
          <t>Lead Reports</t>
        </is>
      </c>
      <c r="E229" s="8" t="inlineStr">
        <is>
          <t>REQ-LR-12</t>
        </is>
      </c>
      <c r="F229" s="8" t="inlineStr">
        <is>
          <t>High</t>
        </is>
      </c>
      <c r="G229" s="7" t="inlineStr">
        <is>
          <t>Yes</t>
        </is>
      </c>
      <c r="H229" s="7" t="inlineStr">
        <is>
          <t>tests/lead-reports/qualification.spec.ts</t>
        </is>
      </c>
      <c r="I229" s="8" t="inlineStr">
        <is>
          <t>Pass</t>
        </is>
      </c>
      <c r="J229" s="8" t="n"/>
      <c r="K229" s="7" t="n"/>
    </row>
    <row r="230">
      <c r="A230" s="7" t="inlineStr">
        <is>
          <t>LR-121</t>
        </is>
      </c>
      <c r="B230" s="7" t="inlineStr">
        <is>
          <t>Avg First Contact uses one unit</t>
        </is>
      </c>
      <c r="C230" s="7" t="inlineStr">
        <is>
          <t>Lead Reports workbook</t>
        </is>
      </c>
      <c r="D230" s="7" t="inlineStr">
        <is>
          <t>Lead Reports</t>
        </is>
      </c>
      <c r="E230" s="8" t="inlineStr">
        <is>
          <t>REQ-LR-12</t>
        </is>
      </c>
      <c r="F230" s="8" t="inlineStr">
        <is>
          <t>Low</t>
        </is>
      </c>
      <c r="G230" s="7" t="inlineStr">
        <is>
          <t>Yes</t>
        </is>
      </c>
      <c r="H230" s="7" t="inlineStr">
        <is>
          <t>tests/lead-reports/qualification.spec.ts</t>
        </is>
      </c>
      <c r="I230" s="8" t="inlineStr">
        <is>
          <t>Fail</t>
        </is>
      </c>
      <c r="J230" s="8" t="inlineStr">
        <is>
          <t>DEF-14</t>
        </is>
      </c>
      <c r="K230" s="7" t="inlineStr">
        <is>
          <t>Error: Hours below a day, days above</t>
        </is>
      </c>
    </row>
    <row r="231">
      <c r="A231" s="7" t="inlineStr">
        <is>
          <t>LR-122</t>
        </is>
      </c>
      <c r="B231" s="7" t="inlineStr">
        <is>
          <t>Current status of the period's leads</t>
        </is>
      </c>
      <c r="C231" s="7" t="inlineStr">
        <is>
          <t>Lead Reports workbook</t>
        </is>
      </c>
      <c r="D231" s="7" t="inlineStr">
        <is>
          <t>Lead Reports</t>
        </is>
      </c>
      <c r="E231" s="8" t="inlineStr">
        <is>
          <t>REQ-LR-12</t>
        </is>
      </c>
      <c r="F231" s="8" t="inlineStr">
        <is>
          <t>High</t>
        </is>
      </c>
      <c r="G231" s="7" t="inlineStr">
        <is>
          <t>Yes</t>
        </is>
      </c>
      <c r="H231" s="7" t="inlineStr">
        <is>
          <t>tests/lead-reports/qualification.spec.ts</t>
        </is>
      </c>
      <c r="I231" s="8" t="inlineStr">
        <is>
          <t>Pass</t>
        </is>
      </c>
      <c r="J231" s="8" t="n"/>
      <c r="K231" s="7" t="n"/>
    </row>
    <row r="232">
      <c r="A232" s="7" t="inlineStr">
        <is>
          <t>LR-123</t>
        </is>
      </c>
      <c r="B232" s="7" t="inlineStr">
        <is>
          <t>Lost reasons add up to Lost</t>
        </is>
      </c>
      <c r="C232" s="7" t="inlineStr">
        <is>
          <t>Lead Reports workbook</t>
        </is>
      </c>
      <c r="D232" s="7" t="inlineStr">
        <is>
          <t>Lead Reports</t>
        </is>
      </c>
      <c r="E232" s="8" t="inlineStr">
        <is>
          <t>REQ-LR-12</t>
        </is>
      </c>
      <c r="F232" s="8" t="inlineStr">
        <is>
          <t>High</t>
        </is>
      </c>
      <c r="G232" s="7" t="inlineStr">
        <is>
          <t>Yes</t>
        </is>
      </c>
      <c r="H232" s="7" t="inlineStr">
        <is>
          <t>tests/lead-reports/qualification.spec.ts</t>
        </is>
      </c>
      <c r="I232" s="8" t="inlineStr">
        <is>
          <t>Pass</t>
        </is>
      </c>
      <c r="J232" s="8" t="n"/>
      <c r="K232" s="7" t="n"/>
    </row>
    <row r="233">
      <c r="A233" s="7" t="inlineStr">
        <is>
          <t>LR-124</t>
        </is>
      </c>
      <c r="B233" s="7" t="inlineStr">
        <is>
          <t>"View lost leads" opens the lost leads</t>
        </is>
      </c>
      <c r="C233" s="7" t="inlineStr">
        <is>
          <t>Lead Reports workbook</t>
        </is>
      </c>
      <c r="D233" s="7" t="inlineStr">
        <is>
          <t>Lead Reports</t>
        </is>
      </c>
      <c r="E233" s="8" t="inlineStr">
        <is>
          <t>REQ-LR-12</t>
        </is>
      </c>
      <c r="F233" s="8" t="inlineStr">
        <is>
          <t>High</t>
        </is>
      </c>
      <c r="G233" s="7" t="inlineStr">
        <is>
          <t>Yes</t>
        </is>
      </c>
      <c r="H233" s="7" t="inlineStr">
        <is>
          <t>tests/lead-reports/qualification.spec.ts</t>
        </is>
      </c>
      <c r="I233" s="8" t="inlineStr">
        <is>
          <t>Pass</t>
        </is>
      </c>
      <c r="J233" s="8" t="n"/>
      <c r="K233" s="7" t="n"/>
    </row>
    <row r="234">
      <c r="A234" s="7" t="inlineStr">
        <is>
          <t>LR-125</t>
        </is>
      </c>
      <c r="B234" s="7" t="inlineStr">
        <is>
          <t>Rating and Score counts are not links</t>
        </is>
      </c>
      <c r="C234" s="7" t="inlineStr">
        <is>
          <t>Lead Reports workbook</t>
        </is>
      </c>
      <c r="D234" s="7" t="inlineStr">
        <is>
          <t>Lead Reports</t>
        </is>
      </c>
      <c r="E234" s="8" t="inlineStr">
        <is>
          <t>REQ-LR-12</t>
        </is>
      </c>
      <c r="F234" s="8" t="inlineStr">
        <is>
          <t>Low</t>
        </is>
      </c>
      <c r="G234" s="7" t="inlineStr">
        <is>
          <t>Yes</t>
        </is>
      </c>
      <c r="H234" s="7" t="inlineStr">
        <is>
          <t>tests/lead-reports/qualification.spec.ts</t>
        </is>
      </c>
      <c r="I234" s="8" t="inlineStr">
        <is>
          <t>Pass</t>
        </is>
      </c>
      <c r="J234" s="8" t="n"/>
      <c r="K234" s="7" t="n"/>
    </row>
    <row r="235">
      <c r="A235" s="7" t="inlineStr">
        <is>
          <t>LR-126</t>
        </is>
      </c>
      <c r="B235" s="7" t="inlineStr">
        <is>
          <t>Scorecard columns</t>
        </is>
      </c>
      <c r="C235" s="7" t="inlineStr">
        <is>
          <t>Lead Reports workbook</t>
        </is>
      </c>
      <c r="D235" s="7" t="inlineStr">
        <is>
          <t>Lead Reports</t>
        </is>
      </c>
      <c r="E235" s="8" t="inlineStr">
        <is>
          <t>REQ-LR-13</t>
        </is>
      </c>
      <c r="F235" s="8" t="inlineStr">
        <is>
          <t>High</t>
        </is>
      </c>
      <c r="G235" s="7" t="inlineStr">
        <is>
          <t>Yes</t>
        </is>
      </c>
      <c r="H235" s="7" t="inlineStr">
        <is>
          <t>tests/lead-reports/scorecard.spec.ts</t>
        </is>
      </c>
      <c r="I235" s="8" t="inlineStr">
        <is>
          <t>Pass</t>
        </is>
      </c>
      <c r="J235" s="8" t="n"/>
      <c r="K235" s="7" t="n"/>
    </row>
    <row r="236">
      <c r="A236" s="7" t="inlineStr">
        <is>
          <t>LR-127</t>
        </is>
      </c>
      <c r="B236" s="7" t="inlineStr">
        <is>
          <t>Scorecard adds up to the report totals</t>
        </is>
      </c>
      <c r="C236" s="7" t="inlineStr">
        <is>
          <t>Lead Reports workbook</t>
        </is>
      </c>
      <c r="D236" s="7" t="inlineStr">
        <is>
          <t>Lead Reports</t>
        </is>
      </c>
      <c r="E236" s="8" t="inlineStr">
        <is>
          <t>REQ-LR-13</t>
        </is>
      </c>
      <c r="F236" s="8" t="inlineStr">
        <is>
          <t>High</t>
        </is>
      </c>
      <c r="G236" s="7" t="inlineStr">
        <is>
          <t>Yes</t>
        </is>
      </c>
      <c r="H236" s="7" t="inlineStr">
        <is>
          <t>tests/lead-reports/scorecard.spec.ts</t>
        </is>
      </c>
      <c r="I236" s="8" t="inlineStr">
        <is>
          <t>Pass</t>
        </is>
      </c>
      <c r="J236" s="8" t="n"/>
      <c r="K236" s="7" t="n"/>
    </row>
    <row r="237">
      <c r="A237" s="7" t="inlineStr">
        <is>
          <t>LR-128</t>
        </is>
      </c>
      <c r="B237" s="7" t="inlineStr">
        <is>
          <t>Scorecard percentages</t>
        </is>
      </c>
      <c r="C237" s="7" t="inlineStr">
        <is>
          <t>Lead Reports workbook</t>
        </is>
      </c>
      <c r="D237" s="7" t="inlineStr">
        <is>
          <t>Lead Reports</t>
        </is>
      </c>
      <c r="E237" s="8" t="inlineStr">
        <is>
          <t>REQ-LR-13</t>
        </is>
      </c>
      <c r="F237" s="8" t="inlineStr">
        <is>
          <t>High</t>
        </is>
      </c>
      <c r="G237" s="7" t="inlineStr">
        <is>
          <t>Yes</t>
        </is>
      </c>
      <c r="H237" s="7" t="inlineStr">
        <is>
          <t>tests/lead-reports/scorecard.spec.ts</t>
        </is>
      </c>
      <c r="I237" s="8" t="inlineStr">
        <is>
          <t>Pass</t>
        </is>
      </c>
      <c r="J237" s="8" t="n"/>
      <c r="K237" s="7" t="n"/>
    </row>
    <row r="238">
      <c r="A238" s="7" t="inlineStr">
        <is>
          <t>LR-129</t>
        </is>
      </c>
      <c r="B238" s="7" t="inlineStr">
        <is>
          <t>"Leads" count opens that salesperson's leads</t>
        </is>
      </c>
      <c r="C238" s="7" t="inlineStr">
        <is>
          <t>Lead Reports workbook</t>
        </is>
      </c>
      <c r="D238" s="7" t="inlineStr">
        <is>
          <t>Lead Reports</t>
        </is>
      </c>
      <c r="E238" s="8" t="inlineStr">
        <is>
          <t>REQ-LR-13</t>
        </is>
      </c>
      <c r="F238" s="8" t="inlineStr">
        <is>
          <t>Medium</t>
        </is>
      </c>
      <c r="G238" s="7" t="inlineStr">
        <is>
          <t>Yes</t>
        </is>
      </c>
      <c r="H238" s="7" t="inlineStr">
        <is>
          <t>tests/lead-reports/scorecard.spec.ts</t>
        </is>
      </c>
      <c r="I238" s="8" t="inlineStr">
        <is>
          <t>Pass</t>
        </is>
      </c>
      <c r="J238" s="8" t="n"/>
      <c r="K238" s="7" t="n"/>
    </row>
    <row r="239">
      <c r="A239" s="7" t="inlineStr">
        <is>
          <t>LR-130</t>
        </is>
      </c>
      <c r="B239" s="7" t="inlineStr">
        <is>
          <t>"Contacted" count opens that salesperson's leads</t>
        </is>
      </c>
      <c r="C239" s="7" t="inlineStr">
        <is>
          <t>Lead Reports workbook</t>
        </is>
      </c>
      <c r="D239" s="7" t="inlineStr">
        <is>
          <t>Lead Reports</t>
        </is>
      </c>
      <c r="E239" s="8" t="inlineStr">
        <is>
          <t>REQ-LR-13</t>
        </is>
      </c>
      <c r="F239" s="8" t="inlineStr">
        <is>
          <t>Medium</t>
        </is>
      </c>
      <c r="G239" s="7" t="inlineStr">
        <is>
          <t>Yes</t>
        </is>
      </c>
      <c r="H239" s="7" t="inlineStr">
        <is>
          <t>tests/lead-reports/scorecard.spec.ts</t>
        </is>
      </c>
      <c r="I239" s="8" t="inlineStr">
        <is>
          <t>Pass</t>
        </is>
      </c>
      <c r="J239" s="8" t="n"/>
      <c r="K239" s="7" t="n"/>
    </row>
    <row r="240">
      <c r="A240" s="7" t="inlineStr">
        <is>
          <t>LR-131</t>
        </is>
      </c>
      <c r="B240" s="7" t="inlineStr">
        <is>
          <t>"Qualified" count opens that salesperson's leads</t>
        </is>
      </c>
      <c r="C240" s="7" t="inlineStr">
        <is>
          <t>Lead Reports workbook</t>
        </is>
      </c>
      <c r="D240" s="7" t="inlineStr">
        <is>
          <t>Lead Reports</t>
        </is>
      </c>
      <c r="E240" s="8" t="inlineStr">
        <is>
          <t>REQ-LR-13</t>
        </is>
      </c>
      <c r="F240" s="8" t="inlineStr">
        <is>
          <t>Medium</t>
        </is>
      </c>
      <c r="G240" s="7" t="inlineStr">
        <is>
          <t>Yes</t>
        </is>
      </c>
      <c r="H240" s="7" t="inlineStr">
        <is>
          <t>tests/lead-reports/scorecard.spec.ts</t>
        </is>
      </c>
      <c r="I240" s="8" t="inlineStr">
        <is>
          <t>Pass</t>
        </is>
      </c>
      <c r="J240" s="8" t="n"/>
      <c r="K240" s="7" t="n"/>
    </row>
    <row r="241">
      <c r="A241" s="7" t="inlineStr">
        <is>
          <t>LR-132</t>
        </is>
      </c>
      <c r="B241" s="7" t="inlineStr">
        <is>
          <t>"Opportunity" count opens that salesperson's leads</t>
        </is>
      </c>
      <c r="C241" s="7" t="inlineStr">
        <is>
          <t>Lead Reports workbook</t>
        </is>
      </c>
      <c r="D241" s="7" t="inlineStr">
        <is>
          <t>Lead Reports</t>
        </is>
      </c>
      <c r="E241" s="8" t="inlineStr">
        <is>
          <t>REQ-LR-13</t>
        </is>
      </c>
      <c r="F241" s="8" t="inlineStr">
        <is>
          <t>Medium</t>
        </is>
      </c>
      <c r="G241" s="7" t="inlineStr">
        <is>
          <t>Yes</t>
        </is>
      </c>
      <c r="H241" s="7" t="inlineStr">
        <is>
          <t>tests/lead-reports/scorecard.spec.ts</t>
        </is>
      </c>
      <c r="I241" s="8" t="inlineStr">
        <is>
          <t>Pass</t>
        </is>
      </c>
      <c r="J241" s="8" t="n"/>
      <c r="K241" s="7" t="n"/>
    </row>
    <row r="242">
      <c r="A242" s="7" t="inlineStr">
        <is>
          <t>LR-133</t>
        </is>
      </c>
      <c r="B242" s="7" t="inlineStr">
        <is>
          <t>"SPA Signed" count opens that salesperson's leads</t>
        </is>
      </c>
      <c r="C242" s="7" t="inlineStr">
        <is>
          <t>Lead Reports workbook</t>
        </is>
      </c>
      <c r="D242" s="7" t="inlineStr">
        <is>
          <t>Lead Reports</t>
        </is>
      </c>
      <c r="E242" s="8" t="inlineStr">
        <is>
          <t>REQ-LR-13</t>
        </is>
      </c>
      <c r="F242" s="8" t="inlineStr">
        <is>
          <t>Medium</t>
        </is>
      </c>
      <c r="G242" s="7" t="inlineStr">
        <is>
          <t>Yes</t>
        </is>
      </c>
      <c r="H242" s="7" t="inlineStr">
        <is>
          <t>tests/lead-reports/scorecard.spec.ts</t>
        </is>
      </c>
      <c r="I242" s="8" t="inlineStr">
        <is>
          <t>Pass</t>
        </is>
      </c>
      <c r="J242" s="8" t="n"/>
      <c r="K242" s="7" t="n"/>
    </row>
    <row r="243">
      <c r="A243" s="7" t="inlineStr">
        <is>
          <t>LR-134</t>
        </is>
      </c>
      <c r="B243" s="7" t="inlineStr">
        <is>
          <t>"Open Now" count opens that salesperson's leads</t>
        </is>
      </c>
      <c r="C243" s="7" t="inlineStr">
        <is>
          <t>Lead Reports workbook</t>
        </is>
      </c>
      <c r="D243" s="7" t="inlineStr">
        <is>
          <t>Lead Reports</t>
        </is>
      </c>
      <c r="E243" s="8" t="inlineStr">
        <is>
          <t>REQ-LR-13</t>
        </is>
      </c>
      <c r="F243" s="8" t="inlineStr">
        <is>
          <t>Medium</t>
        </is>
      </c>
      <c r="G243" s="7" t="inlineStr">
        <is>
          <t>Yes</t>
        </is>
      </c>
      <c r="H243" s="7" t="inlineStr">
        <is>
          <t>tests/lead-reports/scorecard.spec.ts</t>
        </is>
      </c>
      <c r="I243" s="8" t="inlineStr">
        <is>
          <t>Pass</t>
        </is>
      </c>
      <c r="J243" s="8" t="n"/>
      <c r="K243" s="7" t="n"/>
    </row>
    <row r="244">
      <c r="A244" s="7" t="inlineStr">
        <is>
          <t>LR-135</t>
        </is>
      </c>
      <c r="B244" s="7" t="inlineStr">
        <is>
          <t>"Idle &gt; 30 d" count opens that salesperson's leads</t>
        </is>
      </c>
      <c r="C244" s="7" t="inlineStr">
        <is>
          <t>Lead Reports workbook</t>
        </is>
      </c>
      <c r="D244" s="7" t="inlineStr">
        <is>
          <t>Lead Reports</t>
        </is>
      </c>
      <c r="E244" s="8" t="inlineStr">
        <is>
          <t>REQ-LR-13</t>
        </is>
      </c>
      <c r="F244" s="8" t="inlineStr">
        <is>
          <t>Medium</t>
        </is>
      </c>
      <c r="G244" s="7" t="inlineStr">
        <is>
          <t>Yes</t>
        </is>
      </c>
      <c r="H244" s="7" t="inlineStr">
        <is>
          <t>tests/lead-reports/scorecard.spec.ts</t>
        </is>
      </c>
      <c r="I244" s="8" t="inlineStr">
        <is>
          <t>Pass</t>
        </is>
      </c>
      <c r="J244" s="8" t="n"/>
      <c r="K244" s="7" t="n"/>
    </row>
    <row r="245">
      <c r="A245" s="7" t="inlineStr">
        <is>
          <t>LR-136</t>
        </is>
      </c>
      <c r="B245" s="7" t="inlineStr">
        <is>
          <t>"Never Contacted" count opens that salesperson's leads</t>
        </is>
      </c>
      <c r="C245" s="7" t="inlineStr">
        <is>
          <t>Lead Reports workbook</t>
        </is>
      </c>
      <c r="D245" s="7" t="inlineStr">
        <is>
          <t>Lead Reports</t>
        </is>
      </c>
      <c r="E245" s="8" t="inlineStr">
        <is>
          <t>REQ-LR-13</t>
        </is>
      </c>
      <c r="F245" s="8" t="inlineStr">
        <is>
          <t>Medium</t>
        </is>
      </c>
      <c r="G245" s="7" t="inlineStr">
        <is>
          <t>Yes</t>
        </is>
      </c>
      <c r="H245" s="7" t="inlineStr">
        <is>
          <t>tests/lead-reports/scorecard.spec.ts</t>
        </is>
      </c>
      <c r="I245" s="8" t="inlineStr">
        <is>
          <t>Pass</t>
        </is>
      </c>
      <c r="J245" s="8" t="n"/>
      <c r="K245" s="7" t="n"/>
    </row>
    <row r="246">
      <c r="A246" s="7" t="inlineStr">
        <is>
          <t>LR-137</t>
        </is>
      </c>
      <c r="B246" s="7" t="inlineStr">
        <is>
          <t>Activity columns follow the period</t>
        </is>
      </c>
      <c r="C246" s="7" t="inlineStr">
        <is>
          <t>Lead Reports workbook</t>
        </is>
      </c>
      <c r="D246" s="7" t="inlineStr">
        <is>
          <t>Lead Reports</t>
        </is>
      </c>
      <c r="E246" s="8" t="inlineStr">
        <is>
          <t>REQ-LR-13</t>
        </is>
      </c>
      <c r="F246" s="8" t="inlineStr">
        <is>
          <t>Medium</t>
        </is>
      </c>
      <c r="G246" s="7" t="inlineStr">
        <is>
          <t>Yes</t>
        </is>
      </c>
      <c r="H246" s="7" t="inlineStr">
        <is>
          <t>tests/lead-reports/scorecard.spec.ts</t>
        </is>
      </c>
      <c r="I246" s="8" t="inlineStr">
        <is>
          <t>Pass</t>
        </is>
      </c>
      <c r="J246" s="8" t="n"/>
      <c r="K246" s="7" t="n"/>
    </row>
    <row r="247">
      <c r="A247" s="7" t="inlineStr">
        <is>
          <t>LR-138</t>
        </is>
      </c>
      <c r="B247" s="7" t="inlineStr">
        <is>
          <t>Scorecard export</t>
        </is>
      </c>
      <c r="C247" s="7" t="inlineStr">
        <is>
          <t>Lead Reports workbook</t>
        </is>
      </c>
      <c r="D247" s="7" t="inlineStr">
        <is>
          <t>Lead Reports</t>
        </is>
      </c>
      <c r="E247" s="8" t="inlineStr">
        <is>
          <t>REQ-LR-13</t>
        </is>
      </c>
      <c r="F247" s="8" t="inlineStr">
        <is>
          <t>Medium</t>
        </is>
      </c>
      <c r="G247" s="7" t="inlineStr">
        <is>
          <t>Yes</t>
        </is>
      </c>
      <c r="H247" s="7" t="inlineStr">
        <is>
          <t>tests/lead-reports/scorecard.spec.ts</t>
        </is>
      </c>
      <c r="I247" s="8" t="inlineStr">
        <is>
          <t>Pass</t>
        </is>
      </c>
      <c r="J247" s="8" t="n"/>
      <c r="K247" s="7" t="n"/>
    </row>
    <row r="248">
      <c r="A248" s="7" t="inlineStr">
        <is>
          <t>LR-080</t>
        </is>
      </c>
      <c r="B248" s="7" t="inlineStr">
        <is>
          <t>8 grouping sub-tabs are shown</t>
        </is>
      </c>
      <c r="C248" s="7" t="inlineStr">
        <is>
          <t>Lead Reports workbook</t>
        </is>
      </c>
      <c r="D248" s="7" t="inlineStr">
        <is>
          <t>Lead Reports</t>
        </is>
      </c>
      <c r="E248" s="8" t="inlineStr">
        <is>
          <t>REQ-LR-10</t>
        </is>
      </c>
      <c r="F248" s="8" t="inlineStr">
        <is>
          <t>High</t>
        </is>
      </c>
      <c r="G248" s="7" t="inlineStr">
        <is>
          <t>Yes</t>
        </is>
      </c>
      <c r="H248" s="7" t="inlineStr">
        <is>
          <t>tests/lead-reports/source-channel.spec.ts</t>
        </is>
      </c>
      <c r="I248" s="8" t="inlineStr">
        <is>
          <t>Pass</t>
        </is>
      </c>
      <c r="J248" s="8" t="n"/>
      <c r="K248" s="7" t="n"/>
    </row>
    <row r="249">
      <c r="A249" s="7" t="inlineStr">
        <is>
          <t>LR-081</t>
        </is>
      </c>
      <c r="B249" s="7" t="inlineStr">
        <is>
          <t>Group by Capture Channel</t>
        </is>
      </c>
      <c r="C249" s="7" t="inlineStr">
        <is>
          <t>Lead Reports workbook</t>
        </is>
      </c>
      <c r="D249" s="7" t="inlineStr">
        <is>
          <t>Lead Reports</t>
        </is>
      </c>
      <c r="E249" s="8" t="inlineStr">
        <is>
          <t>REQ-LR-10</t>
        </is>
      </c>
      <c r="F249" s="8" t="inlineStr">
        <is>
          <t>Medium</t>
        </is>
      </c>
      <c r="G249" s="7" t="inlineStr">
        <is>
          <t>Yes</t>
        </is>
      </c>
      <c r="H249" s="7" t="inlineStr">
        <is>
          <t>tests/lead-reports/source-channel.spec.ts</t>
        </is>
      </c>
      <c r="I249" s="8" t="inlineStr">
        <is>
          <t>Pass</t>
        </is>
      </c>
      <c r="J249" s="8" t="n"/>
      <c r="K249" s="7" t="n"/>
    </row>
    <row r="250">
      <c r="A250" s="7" t="inlineStr">
        <is>
          <t>LR-082</t>
        </is>
      </c>
      <c r="B250" s="7" t="inlineStr">
        <is>
          <t>Group by Campaign</t>
        </is>
      </c>
      <c r="C250" s="7" t="inlineStr">
        <is>
          <t>Lead Reports workbook</t>
        </is>
      </c>
      <c r="D250" s="7" t="inlineStr">
        <is>
          <t>Lead Reports</t>
        </is>
      </c>
      <c r="E250" s="8" t="inlineStr">
        <is>
          <t>REQ-LR-10</t>
        </is>
      </c>
      <c r="F250" s="8" t="inlineStr">
        <is>
          <t>Medium</t>
        </is>
      </c>
      <c r="G250" s="7" t="inlineStr">
        <is>
          <t>Yes</t>
        </is>
      </c>
      <c r="H250" s="7" t="inlineStr">
        <is>
          <t>tests/lead-reports/source-channel.spec.ts</t>
        </is>
      </c>
      <c r="I250" s="8" t="inlineStr">
        <is>
          <t>Pass</t>
        </is>
      </c>
      <c r="J250" s="8" t="n"/>
      <c r="K250" s="7" t="n"/>
    </row>
    <row r="251">
      <c r="A251" s="7" t="inlineStr">
        <is>
          <t>LR-083</t>
        </is>
      </c>
      <c r="B251" s="7" t="inlineStr">
        <is>
          <t>Group by Broker</t>
        </is>
      </c>
      <c r="C251" s="7" t="inlineStr">
        <is>
          <t>Lead Reports workbook</t>
        </is>
      </c>
      <c r="D251" s="7" t="inlineStr">
        <is>
          <t>Lead Reports</t>
        </is>
      </c>
      <c r="E251" s="8" t="inlineStr">
        <is>
          <t>REQ-LR-10</t>
        </is>
      </c>
      <c r="F251" s="8" t="inlineStr">
        <is>
          <t>Medium</t>
        </is>
      </c>
      <c r="G251" s="7" t="inlineStr">
        <is>
          <t>Yes</t>
        </is>
      </c>
      <c r="H251" s="7" t="inlineStr">
        <is>
          <t>tests/lead-reports/source-channel.spec.ts</t>
        </is>
      </c>
      <c r="I251" s="8" t="inlineStr">
        <is>
          <t>Pass</t>
        </is>
      </c>
      <c r="J251" s="8" t="n"/>
      <c r="K251" s="7" t="n"/>
    </row>
    <row r="252">
      <c r="A252" s="7" t="inlineStr">
        <is>
          <t>LR-084</t>
        </is>
      </c>
      <c r="B252" s="7" t="inlineStr">
        <is>
          <t>Group by Salesperson</t>
        </is>
      </c>
      <c r="C252" s="7" t="inlineStr">
        <is>
          <t>Lead Reports workbook</t>
        </is>
      </c>
      <c r="D252" s="7" t="inlineStr">
        <is>
          <t>Lead Reports</t>
        </is>
      </c>
      <c r="E252" s="8" t="inlineStr">
        <is>
          <t>REQ-LR-10</t>
        </is>
      </c>
      <c r="F252" s="8" t="inlineStr">
        <is>
          <t>Medium</t>
        </is>
      </c>
      <c r="G252" s="7" t="inlineStr">
        <is>
          <t>Yes</t>
        </is>
      </c>
      <c r="H252" s="7" t="inlineStr">
        <is>
          <t>tests/lead-reports/source-channel.spec.ts</t>
        </is>
      </c>
      <c r="I252" s="8" t="inlineStr">
        <is>
          <t>Pass</t>
        </is>
      </c>
      <c r="J252" s="8" t="n"/>
      <c r="K252" s="7" t="n"/>
    </row>
    <row r="253">
      <c r="A253" s="7" t="inlineStr">
        <is>
          <t>LR-085</t>
        </is>
      </c>
      <c r="B253" s="7" t="inlineStr">
        <is>
          <t>Group by Project</t>
        </is>
      </c>
      <c r="C253" s="7" t="inlineStr">
        <is>
          <t>Lead Reports workbook</t>
        </is>
      </c>
      <c r="D253" s="7" t="inlineStr">
        <is>
          <t>Lead Reports</t>
        </is>
      </c>
      <c r="E253" s="8" t="inlineStr">
        <is>
          <t>REQ-LR-10</t>
        </is>
      </c>
      <c r="F253" s="8" t="inlineStr">
        <is>
          <t>Medium</t>
        </is>
      </c>
      <c r="G253" s="7" t="inlineStr">
        <is>
          <t>Yes</t>
        </is>
      </c>
      <c r="H253" s="7" t="inlineStr">
        <is>
          <t>tests/lead-reports/source-channel.spec.ts</t>
        </is>
      </c>
      <c r="I253" s="8" t="inlineStr">
        <is>
          <t>Pass</t>
        </is>
      </c>
      <c r="J253" s="8" t="n"/>
      <c r="K253" s="7" t="n"/>
    </row>
    <row r="254">
      <c r="A254" s="7" t="inlineStr">
        <is>
          <t>LR-086</t>
        </is>
      </c>
      <c r="B254" s="7" t="inlineStr">
        <is>
          <t>Group by Nationality</t>
        </is>
      </c>
      <c r="C254" s="7" t="inlineStr">
        <is>
          <t>Lead Reports workbook</t>
        </is>
      </c>
      <c r="D254" s="7" t="inlineStr">
        <is>
          <t>Lead Reports</t>
        </is>
      </c>
      <c r="E254" s="8" t="inlineStr">
        <is>
          <t>REQ-LR-10</t>
        </is>
      </c>
      <c r="F254" s="8" t="inlineStr">
        <is>
          <t>Medium</t>
        </is>
      </c>
      <c r="G254" s="7" t="inlineStr">
        <is>
          <t>Yes</t>
        </is>
      </c>
      <c r="H254" s="7" t="inlineStr">
        <is>
          <t>tests/lead-reports/source-channel.spec.ts</t>
        </is>
      </c>
      <c r="I254" s="8" t="inlineStr">
        <is>
          <t>Pass</t>
        </is>
      </c>
      <c r="J254" s="8" t="n"/>
      <c r="K254" s="7" t="n"/>
    </row>
    <row r="255">
      <c r="A255" s="7" t="inlineStr">
        <is>
          <t>LR-087</t>
        </is>
      </c>
      <c r="B255" s="7" t="inlineStr">
        <is>
          <t>Group by Prospect Type</t>
        </is>
      </c>
      <c r="C255" s="7" t="inlineStr">
        <is>
          <t>Lead Reports workbook</t>
        </is>
      </c>
      <c r="D255" s="7" t="inlineStr">
        <is>
          <t>Lead Reports</t>
        </is>
      </c>
      <c r="E255" s="8" t="inlineStr">
        <is>
          <t>REQ-LR-10</t>
        </is>
      </c>
      <c r="F255" s="8" t="inlineStr">
        <is>
          <t>Medium</t>
        </is>
      </c>
      <c r="G255" s="7" t="inlineStr">
        <is>
          <t>Yes</t>
        </is>
      </c>
      <c r="H255" s="7" t="inlineStr">
        <is>
          <t>tests/lead-reports/source-channel.spec.ts</t>
        </is>
      </c>
      <c r="I255" s="8" t="inlineStr">
        <is>
          <t>Pass</t>
        </is>
      </c>
      <c r="J255" s="8" t="n"/>
      <c r="K255" s="7" t="n"/>
    </row>
    <row r="256">
      <c r="A256" s="7" t="inlineStr">
        <is>
          <t>LR-088</t>
        </is>
      </c>
      <c r="B256" s="7" t="inlineStr">
        <is>
          <t>Columns and Total row</t>
        </is>
      </c>
      <c r="C256" s="7" t="inlineStr">
        <is>
          <t>Lead Reports workbook</t>
        </is>
      </c>
      <c r="D256" s="7" t="inlineStr">
        <is>
          <t>Lead Reports</t>
        </is>
      </c>
      <c r="E256" s="8" t="inlineStr">
        <is>
          <t>REQ-LR-10</t>
        </is>
      </c>
      <c r="F256" s="8" t="inlineStr">
        <is>
          <t>High</t>
        </is>
      </c>
      <c r="G256" s="7" t="inlineStr">
        <is>
          <t>Yes</t>
        </is>
      </c>
      <c r="H256" s="7" t="inlineStr">
        <is>
          <t>tests/lead-reports/source-channel.spec.ts</t>
        </is>
      </c>
      <c r="I256" s="8" t="inlineStr">
        <is>
          <t>Pass</t>
        </is>
      </c>
      <c r="J256" s="8" t="n"/>
      <c r="K256" s="7" t="n"/>
    </row>
    <row r="257">
      <c r="A257" s="7" t="inlineStr">
        <is>
          <t>LR-089</t>
        </is>
      </c>
      <c r="B257" s="7" t="inlineStr">
        <is>
          <t>Rows add up to the Total row</t>
        </is>
      </c>
      <c r="C257" s="7" t="inlineStr">
        <is>
          <t>Lead Reports workbook</t>
        </is>
      </c>
      <c r="D257" s="7" t="inlineStr">
        <is>
          <t>Lead Reports</t>
        </is>
      </c>
      <c r="E257" s="8" t="inlineStr">
        <is>
          <t>REQ-LR-10</t>
        </is>
      </c>
      <c r="F257" s="8" t="inlineStr">
        <is>
          <t>High</t>
        </is>
      </c>
      <c r="G257" s="7" t="inlineStr">
        <is>
          <t>Yes</t>
        </is>
      </c>
      <c r="H257" s="7" t="inlineStr">
        <is>
          <t>tests/lead-reports/source-channel.spec.ts</t>
        </is>
      </c>
      <c r="I257" s="8" t="inlineStr">
        <is>
          <t>Pass</t>
        </is>
      </c>
      <c r="J257" s="8" t="n"/>
      <c r="K257" s="7" t="n"/>
    </row>
    <row r="258">
      <c r="A258" s="7" t="inlineStr">
        <is>
          <t>LR-090</t>
        </is>
      </c>
      <c r="B258" s="7" t="inlineStr">
        <is>
          <t>Row percentages are correct</t>
        </is>
      </c>
      <c r="C258" s="7" t="inlineStr">
        <is>
          <t>Lead Reports workbook</t>
        </is>
      </c>
      <c r="D258" s="7" t="inlineStr">
        <is>
          <t>Lead Reports</t>
        </is>
      </c>
      <c r="E258" s="8" t="inlineStr">
        <is>
          <t>REQ-LR-10</t>
        </is>
      </c>
      <c r="F258" s="8" t="inlineStr">
        <is>
          <t>High</t>
        </is>
      </c>
      <c r="G258" s="7" t="inlineStr">
        <is>
          <t>Yes</t>
        </is>
      </c>
      <c r="H258" s="7" t="inlineStr">
        <is>
          <t>tests/lead-reports/source-channel.spec.ts</t>
        </is>
      </c>
      <c r="I258" s="8" t="inlineStr">
        <is>
          <t>Pass</t>
        </is>
      </c>
      <c r="J258" s="8" t="n"/>
      <c r="K258" s="7" t="n"/>
    </row>
    <row r="259">
      <c r="A259" s="7" t="inlineStr">
        <is>
          <t>LR-091</t>
        </is>
      </c>
      <c r="B259" s="7" t="inlineStr">
        <is>
          <t>Leads without a value are grouped as "Unspecified"</t>
        </is>
      </c>
      <c r="C259" s="7" t="inlineStr">
        <is>
          <t>Lead Reports workbook</t>
        </is>
      </c>
      <c r="D259" s="7" t="inlineStr">
        <is>
          <t>Lead Reports</t>
        </is>
      </c>
      <c r="E259" s="8" t="inlineStr">
        <is>
          <t>REQ-LR-10</t>
        </is>
      </c>
      <c r="F259" s="8" t="inlineStr">
        <is>
          <t>Medium</t>
        </is>
      </c>
      <c r="G259" s="7" t="inlineStr">
        <is>
          <t>Yes</t>
        </is>
      </c>
      <c r="H259" s="7" t="inlineStr">
        <is>
          <t>tests/lead-reports/source-channel.spec.ts</t>
        </is>
      </c>
      <c r="I259" s="8" t="inlineStr">
        <is>
          <t>Pass</t>
        </is>
      </c>
      <c r="J259" s="8" t="n"/>
      <c r="K259" s="7" t="n"/>
    </row>
    <row r="260">
      <c r="A260" s="7" t="inlineStr">
        <is>
          <t>LR-092</t>
        </is>
      </c>
      <c r="B260" s="7" t="inlineStr">
        <is>
          <t>"Leads" count opens its leads</t>
        </is>
      </c>
      <c r="C260" s="7" t="inlineStr">
        <is>
          <t>Lead Reports workbook</t>
        </is>
      </c>
      <c r="D260" s="7" t="inlineStr">
        <is>
          <t>Lead Reports</t>
        </is>
      </c>
      <c r="E260" s="8" t="inlineStr">
        <is>
          <t>REQ-LR-10</t>
        </is>
      </c>
      <c r="F260" s="8" t="inlineStr">
        <is>
          <t>High</t>
        </is>
      </c>
      <c r="G260" s="7" t="inlineStr">
        <is>
          <t>Yes</t>
        </is>
      </c>
      <c r="H260" s="7" t="inlineStr">
        <is>
          <t>tests/lead-reports/source-channel.spec.ts</t>
        </is>
      </c>
      <c r="I260" s="8" t="inlineStr">
        <is>
          <t>Pass</t>
        </is>
      </c>
      <c r="J260" s="8" t="n"/>
      <c r="K260" s="7" t="n"/>
    </row>
    <row r="261">
      <c r="A261" s="7" t="inlineStr">
        <is>
          <t>LR-093</t>
        </is>
      </c>
      <c r="B261" s="7" t="inlineStr">
        <is>
          <t>"Contacted" count opens its leads</t>
        </is>
      </c>
      <c r="C261" s="7" t="inlineStr">
        <is>
          <t>Lead Reports workbook</t>
        </is>
      </c>
      <c r="D261" s="7" t="inlineStr">
        <is>
          <t>Lead Reports</t>
        </is>
      </c>
      <c r="E261" s="8" t="inlineStr">
        <is>
          <t>REQ-LR-10</t>
        </is>
      </c>
      <c r="F261" s="8" t="inlineStr">
        <is>
          <t>Medium</t>
        </is>
      </c>
      <c r="G261" s="7" t="inlineStr">
        <is>
          <t>Yes</t>
        </is>
      </c>
      <c r="H261" s="7" t="inlineStr">
        <is>
          <t>tests/lead-reports/source-channel.spec.ts</t>
        </is>
      </c>
      <c r="I261" s="8" t="inlineStr">
        <is>
          <t>Pass</t>
        </is>
      </c>
      <c r="J261" s="8" t="n"/>
      <c r="K261" s="7" t="n"/>
    </row>
    <row r="262">
      <c r="A262" s="7" t="inlineStr">
        <is>
          <t>LR-094</t>
        </is>
      </c>
      <c r="B262" s="7" t="inlineStr">
        <is>
          <t>"Qualified" count opens its leads</t>
        </is>
      </c>
      <c r="C262" s="7" t="inlineStr">
        <is>
          <t>Lead Reports workbook</t>
        </is>
      </c>
      <c r="D262" s="7" t="inlineStr">
        <is>
          <t>Lead Reports</t>
        </is>
      </c>
      <c r="E262" s="8" t="inlineStr">
        <is>
          <t>REQ-LR-10</t>
        </is>
      </c>
      <c r="F262" s="8" t="inlineStr">
        <is>
          <t>Medium</t>
        </is>
      </c>
      <c r="G262" s="7" t="inlineStr">
        <is>
          <t>Yes</t>
        </is>
      </c>
      <c r="H262" s="7" t="inlineStr">
        <is>
          <t>tests/lead-reports/source-channel.spec.ts</t>
        </is>
      </c>
      <c r="I262" s="8" t="inlineStr">
        <is>
          <t>Pass</t>
        </is>
      </c>
      <c r="J262" s="8" t="n"/>
      <c r="K262" s="7" t="n"/>
    </row>
    <row r="263">
      <c r="A263" s="7" t="inlineStr">
        <is>
          <t>LR-095</t>
        </is>
      </c>
      <c r="B263" s="7" t="inlineStr">
        <is>
          <t>"Opportunity" count opens its leads</t>
        </is>
      </c>
      <c r="C263" s="7" t="inlineStr">
        <is>
          <t>Lead Reports workbook</t>
        </is>
      </c>
      <c r="D263" s="7" t="inlineStr">
        <is>
          <t>Lead Reports</t>
        </is>
      </c>
      <c r="E263" s="8" t="inlineStr">
        <is>
          <t>REQ-LR-10</t>
        </is>
      </c>
      <c r="F263" s="8" t="inlineStr">
        <is>
          <t>Medium</t>
        </is>
      </c>
      <c r="G263" s="7" t="inlineStr">
        <is>
          <t>Yes</t>
        </is>
      </c>
      <c r="H263" s="7" t="inlineStr">
        <is>
          <t>tests/lead-reports/source-channel.spec.ts</t>
        </is>
      </c>
      <c r="I263" s="8" t="inlineStr">
        <is>
          <t>Pass</t>
        </is>
      </c>
      <c r="J263" s="8" t="n"/>
      <c r="K263" s="7" t="n"/>
    </row>
    <row r="264">
      <c r="A264" s="7" t="inlineStr">
        <is>
          <t>LR-096</t>
        </is>
      </c>
      <c r="B264" s="7" t="inlineStr">
        <is>
          <t>"Reserved" count opens its leads</t>
        </is>
      </c>
      <c r="C264" s="7" t="inlineStr">
        <is>
          <t>Lead Reports workbook</t>
        </is>
      </c>
      <c r="D264" s="7" t="inlineStr">
        <is>
          <t>Lead Reports</t>
        </is>
      </c>
      <c r="E264" s="8" t="inlineStr">
        <is>
          <t>REQ-LR-10</t>
        </is>
      </c>
      <c r="F264" s="8" t="inlineStr">
        <is>
          <t>Medium</t>
        </is>
      </c>
      <c r="G264" s="7" t="inlineStr">
        <is>
          <t>Yes</t>
        </is>
      </c>
      <c r="H264" s="7" t="inlineStr">
        <is>
          <t>tests/lead-reports/source-channel.spec.ts</t>
        </is>
      </c>
      <c r="I264" s="8" t="inlineStr">
        <is>
          <t>Pass</t>
        </is>
      </c>
      <c r="J264" s="8" t="n"/>
      <c r="K264" s="7" t="n"/>
    </row>
    <row r="265">
      <c r="A265" s="7" t="inlineStr">
        <is>
          <t>LR-097</t>
        </is>
      </c>
      <c r="B265" s="7" t="inlineStr">
        <is>
          <t>"SPA Signed" count opens its leads</t>
        </is>
      </c>
      <c r="C265" s="7" t="inlineStr">
        <is>
          <t>Lead Reports workbook</t>
        </is>
      </c>
      <c r="D265" s="7" t="inlineStr">
        <is>
          <t>Lead Reports</t>
        </is>
      </c>
      <c r="E265" s="8" t="inlineStr">
        <is>
          <t>REQ-LR-10</t>
        </is>
      </c>
      <c r="F265" s="8" t="inlineStr">
        <is>
          <t>Medium</t>
        </is>
      </c>
      <c r="G265" s="7" t="inlineStr">
        <is>
          <t>Yes</t>
        </is>
      </c>
      <c r="H265" s="7" t="inlineStr">
        <is>
          <t>tests/lead-reports/source-channel.spec.ts</t>
        </is>
      </c>
      <c r="I265" s="8" t="inlineStr">
        <is>
          <t>Pass</t>
        </is>
      </c>
      <c r="J265" s="8" t="n"/>
      <c r="K265" s="7" t="n"/>
    </row>
    <row r="266">
      <c r="A266" s="7" t="inlineStr">
        <is>
          <t>LR-098</t>
        </is>
      </c>
      <c r="B266" s="7" t="inlineStr">
        <is>
          <t>"Lost" count opens the lost leads of that row</t>
        </is>
      </c>
      <c r="C266" s="7" t="inlineStr">
        <is>
          <t>Lead Reports workbook</t>
        </is>
      </c>
      <c r="D266" s="7" t="inlineStr">
        <is>
          <t>Lead Reports</t>
        </is>
      </c>
      <c r="E266" s="8" t="inlineStr">
        <is>
          <t>REQ-LR-10</t>
        </is>
      </c>
      <c r="F266" s="8" t="inlineStr">
        <is>
          <t>Low</t>
        </is>
      </c>
      <c r="G266" s="7" t="inlineStr">
        <is>
          <t>Yes</t>
        </is>
      </c>
      <c r="H266" s="7" t="inlineStr">
        <is>
          <t>tests/lead-reports/source-channel.spec.ts</t>
        </is>
      </c>
      <c r="I266" s="8" t="inlineStr">
        <is>
          <t>Pass</t>
        </is>
      </c>
      <c r="J266" s="8" t="n"/>
      <c r="K266" s="7" t="n"/>
    </row>
    <row r="267">
      <c r="A267" s="7" t="inlineStr">
        <is>
          <t>LR-099</t>
        </is>
      </c>
      <c r="B267" s="7" t="inlineStr">
        <is>
          <t>Values without data show "—"</t>
        </is>
      </c>
      <c r="C267" s="7" t="inlineStr">
        <is>
          <t>Lead Reports workbook</t>
        </is>
      </c>
      <c r="D267" s="7" t="inlineStr">
        <is>
          <t>Lead Reports</t>
        </is>
      </c>
      <c r="E267" s="8" t="inlineStr">
        <is>
          <t>REQ-LR-10</t>
        </is>
      </c>
      <c r="F267" s="8" t="inlineStr">
        <is>
          <t>Low</t>
        </is>
      </c>
      <c r="G267" s="7" t="inlineStr">
        <is>
          <t>Yes</t>
        </is>
      </c>
      <c r="H267" s="7" t="inlineStr">
        <is>
          <t>tests/lead-reports/source-channel.spec.ts</t>
        </is>
      </c>
      <c r="I267" s="8" t="inlineStr">
        <is>
          <t>Pass</t>
        </is>
      </c>
      <c r="J267" s="8" t="n"/>
      <c r="K267" s="7" t="n"/>
    </row>
    <row r="268">
      <c r="A268" s="7" t="inlineStr">
        <is>
          <t>LR-100</t>
        </is>
      </c>
      <c r="B268" s="7" t="inlineStr">
        <is>
          <t>Export downloads the current grouping</t>
        </is>
      </c>
      <c r="C268" s="7" t="inlineStr">
        <is>
          <t>Lead Reports workbook</t>
        </is>
      </c>
      <c r="D268" s="7" t="inlineStr">
        <is>
          <t>Lead Reports</t>
        </is>
      </c>
      <c r="E268" s="8" t="inlineStr">
        <is>
          <t>REQ-LR-10</t>
        </is>
      </c>
      <c r="F268" s="8" t="inlineStr">
        <is>
          <t>High</t>
        </is>
      </c>
      <c r="G268" s="7" t="inlineStr">
        <is>
          <t>Yes</t>
        </is>
      </c>
      <c r="H268" s="7" t="inlineStr">
        <is>
          <t>tests/lead-reports/source-channel.spec.ts</t>
        </is>
      </c>
      <c r="I268" s="8" t="inlineStr">
        <is>
          <t>Pass</t>
        </is>
      </c>
      <c r="J268" s="8" t="n"/>
      <c r="K268" s="7" t="n"/>
    </row>
    <row r="269">
      <c r="A269" s="7" t="inlineStr">
        <is>
          <t>LR-101</t>
        </is>
      </c>
      <c r="B269" s="7" t="inlineStr">
        <is>
          <t>Export follows the selected sub-tab</t>
        </is>
      </c>
      <c r="C269" s="7" t="inlineStr">
        <is>
          <t>Lead Reports workbook</t>
        </is>
      </c>
      <c r="D269" s="7" t="inlineStr">
        <is>
          <t>Lead Reports</t>
        </is>
      </c>
      <c r="E269" s="8" t="inlineStr">
        <is>
          <t>REQ-LR-10</t>
        </is>
      </c>
      <c r="F269" s="8" t="inlineStr">
        <is>
          <t>Medium</t>
        </is>
      </c>
      <c r="G269" s="7" t="inlineStr">
        <is>
          <t>Yes</t>
        </is>
      </c>
      <c r="H269" s="7" t="inlineStr">
        <is>
          <t>tests/lead-reports/source-channel.spec.ts</t>
        </is>
      </c>
      <c r="I269" s="8" t="inlineStr">
        <is>
          <t>Pass</t>
        </is>
      </c>
      <c r="J269" s="8" t="n"/>
      <c r="K269" s="7" t="n"/>
    </row>
    <row r="270">
      <c r="A270" s="7" t="inlineStr">
        <is>
          <t>LR-102</t>
        </is>
      </c>
      <c r="B270" s="7" t="inlineStr">
        <is>
          <t>Column headers do not sort</t>
        </is>
      </c>
      <c r="C270" s="7" t="inlineStr">
        <is>
          <t>Lead Reports workbook</t>
        </is>
      </c>
      <c r="D270" s="7" t="inlineStr">
        <is>
          <t>Lead Reports</t>
        </is>
      </c>
      <c r="E270" s="8" t="inlineStr">
        <is>
          <t>REQ-LR-10</t>
        </is>
      </c>
      <c r="F270" s="8" t="inlineStr">
        <is>
          <t>Low</t>
        </is>
      </c>
      <c r="G270" s="7" t="inlineStr">
        <is>
          <t>Yes</t>
        </is>
      </c>
      <c r="H270" s="7" t="inlineStr">
        <is>
          <t>tests/lead-reports/source-channel.spec.ts</t>
        </is>
      </c>
      <c r="I270" s="8" t="inlineStr">
        <is>
          <t>Pass</t>
        </is>
      </c>
      <c r="J270" s="8" t="n"/>
      <c r="K270" s="7" t="n"/>
    </row>
    <row r="271">
      <c r="A271" s="7" t="inlineStr">
        <is>
          <t>L-01</t>
        </is>
      </c>
      <c r="B271" s="7" t="inlineStr">
        <is>
          <t>Total card = All Leads badge = pager count</t>
        </is>
      </c>
      <c r="C271" s="7" t="inlineStr">
        <is>
          <t>Core suite</t>
        </is>
      </c>
      <c r="D271" s="7" t="inlineStr">
        <is>
          <t>Leads</t>
        </is>
      </c>
      <c r="E271" s="8" t="inlineStr">
        <is>
          <t>REQ-LEADS-01</t>
        </is>
      </c>
      <c r="F271" s="8" t="n"/>
      <c r="G271" s="7" t="inlineStr">
        <is>
          <t>Yes</t>
        </is>
      </c>
      <c r="H271" s="7" t="inlineStr">
        <is>
          <t>tests/leads.spec.ts</t>
        </is>
      </c>
      <c r="I271" s="8" t="inlineStr">
        <is>
          <t>Pass</t>
        </is>
      </c>
      <c r="J271" s="8" t="n"/>
      <c r="K271" s="7" t="n"/>
    </row>
    <row r="272">
      <c r="A272" s="7" t="inlineStr">
        <is>
          <t>L-02</t>
        </is>
      </c>
      <c r="B272" s="7" t="inlineStr">
        <is>
          <t>Assigned + Unassigned = Total</t>
        </is>
      </c>
      <c r="C272" s="7" t="inlineStr">
        <is>
          <t>Core suite</t>
        </is>
      </c>
      <c r="D272" s="7" t="inlineStr">
        <is>
          <t>Leads</t>
        </is>
      </c>
      <c r="E272" s="8" t="inlineStr">
        <is>
          <t>REQ-LEADS-01</t>
        </is>
      </c>
      <c r="F272" s="8" t="n"/>
      <c r="G272" s="7" t="inlineStr">
        <is>
          <t>Yes</t>
        </is>
      </c>
      <c r="H272" s="7" t="inlineStr">
        <is>
          <t>tests/leads.spec.ts</t>
        </is>
      </c>
      <c r="I272" s="8" t="inlineStr">
        <is>
          <t>Pass</t>
        </is>
      </c>
      <c r="J272" s="8" t="n"/>
      <c r="K272" s="7" t="n"/>
    </row>
    <row r="273">
      <c r="A273" s="7" t="inlineStr">
        <is>
          <t>L-03</t>
        </is>
      </c>
      <c r="B273" s="7" t="inlineStr">
        <is>
          <t>Qualified + Disqualified ≤ Total, Avg Score within 0–100</t>
        </is>
      </c>
      <c r="C273" s="7" t="inlineStr">
        <is>
          <t>Core suite</t>
        </is>
      </c>
      <c r="D273" s="7" t="inlineStr">
        <is>
          <t>Leads</t>
        </is>
      </c>
      <c r="E273" s="8" t="inlineStr">
        <is>
          <t>REQ-LEADS-01</t>
        </is>
      </c>
      <c r="F273" s="8" t="n"/>
      <c r="G273" s="7" t="inlineStr">
        <is>
          <t>Yes</t>
        </is>
      </c>
      <c r="H273" s="7" t="inlineStr">
        <is>
          <t>tests/leads.spec.ts</t>
        </is>
      </c>
      <c r="I273" s="8" t="inlineStr">
        <is>
          <t>Pass</t>
        </is>
      </c>
      <c r="J273" s="8" t="n"/>
      <c r="K273" s="7" t="n"/>
    </row>
    <row r="274">
      <c r="A274" s="7" t="inlineStr">
        <is>
          <t>L-04.1</t>
        </is>
      </c>
      <c r="B274" s="7" t="inlineStr">
        <is>
          <t>"My Leads" badge = rows listed in the tab</t>
        </is>
      </c>
      <c r="C274" s="7" t="inlineStr">
        <is>
          <t>Core suite</t>
        </is>
      </c>
      <c r="D274" s="7" t="inlineStr">
        <is>
          <t>Leads</t>
        </is>
      </c>
      <c r="E274" s="8" t="inlineStr">
        <is>
          <t>REQ-LEADS-01</t>
        </is>
      </c>
      <c r="F274" s="8" t="n"/>
      <c r="G274" s="7" t="inlineStr">
        <is>
          <t>Yes</t>
        </is>
      </c>
      <c r="H274" s="7" t="inlineStr">
        <is>
          <t>tests/leads.spec.ts</t>
        </is>
      </c>
      <c r="I274" s="8" t="inlineStr">
        <is>
          <t>Pass</t>
        </is>
      </c>
      <c r="J274" s="8" t="n"/>
      <c r="K274" s="7" t="n"/>
    </row>
    <row r="275">
      <c r="A275" s="7" t="inlineStr">
        <is>
          <t>L-04.2</t>
        </is>
      </c>
      <c r="B275" s="7" t="inlineStr">
        <is>
          <t>"Unassigned" badge = rows listed in the tab</t>
        </is>
      </c>
      <c r="C275" s="7" t="inlineStr">
        <is>
          <t>Core suite</t>
        </is>
      </c>
      <c r="D275" s="7" t="inlineStr">
        <is>
          <t>Leads</t>
        </is>
      </c>
      <c r="E275" s="8" t="inlineStr">
        <is>
          <t>REQ-LEADS-01</t>
        </is>
      </c>
      <c r="F275" s="8" t="n"/>
      <c r="G275" s="7" t="inlineStr">
        <is>
          <t>Yes</t>
        </is>
      </c>
      <c r="H275" s="7" t="inlineStr">
        <is>
          <t>tests/leads.spec.ts</t>
        </is>
      </c>
      <c r="I275" s="8" t="inlineStr">
        <is>
          <t>Pass</t>
        </is>
      </c>
      <c r="J275" s="8" t="n"/>
      <c r="K275" s="7" t="n"/>
    </row>
    <row r="276">
      <c r="A276" s="7" t="inlineStr">
        <is>
          <t>L-04.3</t>
        </is>
      </c>
      <c r="B276" s="7" t="inlineStr">
        <is>
          <t>"To Qualify" badge = rows listed in the tab</t>
        </is>
      </c>
      <c r="C276" s="7" t="inlineStr">
        <is>
          <t>Core suite</t>
        </is>
      </c>
      <c r="D276" s="7" t="inlineStr">
        <is>
          <t>Leads</t>
        </is>
      </c>
      <c r="E276" s="8" t="inlineStr">
        <is>
          <t>REQ-LEADS-01</t>
        </is>
      </c>
      <c r="F276" s="8" t="n"/>
      <c r="G276" s="7" t="inlineStr">
        <is>
          <t>Yes</t>
        </is>
      </c>
      <c r="H276" s="7" t="inlineStr">
        <is>
          <t>tests/leads.spec.ts</t>
        </is>
      </c>
      <c r="I276" s="8" t="inlineStr">
        <is>
          <t>Pass</t>
        </is>
      </c>
      <c r="J276" s="8" t="n"/>
      <c r="K276" s="7" t="n"/>
    </row>
    <row r="277">
      <c r="A277" s="7" t="inlineStr">
        <is>
          <t>L-04.4</t>
        </is>
      </c>
      <c r="B277" s="7" t="inlineStr">
        <is>
          <t>"Ready to Convert" badge = rows listed in the tab</t>
        </is>
      </c>
      <c r="C277" s="7" t="inlineStr">
        <is>
          <t>Core suite</t>
        </is>
      </c>
      <c r="D277" s="7" t="inlineStr">
        <is>
          <t>Leads</t>
        </is>
      </c>
      <c r="E277" s="8" t="inlineStr">
        <is>
          <t>REQ-LEADS-01</t>
        </is>
      </c>
      <c r="F277" s="8" t="n"/>
      <c r="G277" s="7" t="inlineStr">
        <is>
          <t>Yes</t>
        </is>
      </c>
      <c r="H277" s="7" t="inlineStr">
        <is>
          <t>tests/leads.spec.ts</t>
        </is>
      </c>
      <c r="I277" s="8" t="inlineStr">
        <is>
          <t>Pass</t>
        </is>
      </c>
      <c r="J277" s="8" t="n"/>
      <c r="K277" s="7" t="n"/>
    </row>
    <row r="278">
      <c r="A278" s="7" t="inlineStr">
        <is>
          <t>L-05</t>
        </is>
      </c>
      <c r="B278" s="7" t="inlineStr">
        <is>
          <t>Individual + Corporate = All</t>
        </is>
      </c>
      <c r="C278" s="7" t="inlineStr">
        <is>
          <t>Core suite</t>
        </is>
      </c>
      <c r="D278" s="7" t="inlineStr">
        <is>
          <t>Leads</t>
        </is>
      </c>
      <c r="E278" s="8" t="inlineStr">
        <is>
          <t>REQ-LEADS-01</t>
        </is>
      </c>
      <c r="F278" s="8" t="n"/>
      <c r="G278" s="7" t="inlineStr">
        <is>
          <t>Yes</t>
        </is>
      </c>
      <c r="H278" s="7" t="inlineStr">
        <is>
          <t>tests/leads.spec.ts</t>
        </is>
      </c>
      <c r="I278" s="8" t="inlineStr">
        <is>
          <t>Pass</t>
        </is>
      </c>
      <c r="J278" s="8" t="n"/>
      <c r="K278" s="7" t="n"/>
    </row>
    <row r="279">
      <c r="A279" s="7" t="inlineStr">
        <is>
          <t>L-06</t>
        </is>
      </c>
      <c r="B279" s="7" t="inlineStr">
        <is>
          <t>status filter: sum of all 10 statuses = Total; cards match their status</t>
        </is>
      </c>
      <c r="C279" s="7" t="inlineStr">
        <is>
          <t>Core suite</t>
        </is>
      </c>
      <c r="D279" s="7" t="inlineStr">
        <is>
          <t>Leads</t>
        </is>
      </c>
      <c r="E279" s="8" t="inlineStr">
        <is>
          <t>REQ-LEADS-01</t>
        </is>
      </c>
      <c r="F279" s="8" t="n"/>
      <c r="G279" s="7" t="inlineStr">
        <is>
          <t>Yes</t>
        </is>
      </c>
      <c r="H279" s="7" t="inlineStr">
        <is>
          <t>tests/leads.spec.ts</t>
        </is>
      </c>
      <c r="I279" s="8" t="inlineStr">
        <is>
          <t>Pass</t>
        </is>
      </c>
      <c r="J279" s="8" t="n"/>
      <c r="K279" s="7" t="n"/>
    </row>
    <row r="280">
      <c r="A280" s="7" t="inlineStr">
        <is>
          <t>L-07</t>
        </is>
      </c>
      <c r="B280" s="7" t="inlineStr">
        <is>
          <t>search: no match shows 0, clearing restores the total</t>
        </is>
      </c>
      <c r="C280" s="7" t="inlineStr">
        <is>
          <t>Core suite</t>
        </is>
      </c>
      <c r="D280" s="7" t="inlineStr">
        <is>
          <t>Leads</t>
        </is>
      </c>
      <c r="E280" s="8" t="inlineStr">
        <is>
          <t>REQ-LEADS-02</t>
        </is>
      </c>
      <c r="F280" s="8" t="n"/>
      <c r="G280" s="7" t="inlineStr">
        <is>
          <t>Yes</t>
        </is>
      </c>
      <c r="H280" s="7" t="inlineStr">
        <is>
          <t>tests/leads.spec.ts</t>
        </is>
      </c>
      <c r="I280" s="8" t="inlineStr">
        <is>
          <t>Pass</t>
        </is>
      </c>
      <c r="J280" s="8" t="n"/>
      <c r="K280" s="7" t="n"/>
    </row>
    <row r="281">
      <c r="A281" s="7" t="inlineStr">
        <is>
          <t>L-08</t>
        </is>
      </c>
      <c r="B281" s="7" t="inlineStr">
        <is>
          <t>pagination: page 1 has 25 rows, pages = ceil(total/25)</t>
        </is>
      </c>
      <c r="C281" s="7" t="inlineStr">
        <is>
          <t>Core suite</t>
        </is>
      </c>
      <c r="D281" s="7" t="inlineStr">
        <is>
          <t>Leads</t>
        </is>
      </c>
      <c r="E281" s="8" t="inlineStr">
        <is>
          <t>REQ-LEADS-02</t>
        </is>
      </c>
      <c r="F281" s="8" t="n"/>
      <c r="G281" s="7" t="inlineStr">
        <is>
          <t>Yes</t>
        </is>
      </c>
      <c r="H281" s="7" t="inlineStr">
        <is>
          <t>tests/leads.spec.ts</t>
        </is>
      </c>
      <c r="I281" s="8" t="inlineStr">
        <is>
          <t>Pass</t>
        </is>
      </c>
      <c r="J281" s="8" t="n"/>
      <c r="K281" s="7" t="n"/>
    </row>
    <row r="282">
      <c r="A282" s="7" t="inlineStr">
        <is>
          <t>L-09</t>
        </is>
      </c>
      <c r="B282" s="7" t="inlineStr">
        <is>
          <t>Export row count = Total</t>
        </is>
      </c>
      <c r="C282" s="7" t="inlineStr">
        <is>
          <t>Core suite</t>
        </is>
      </c>
      <c r="D282" s="7" t="inlineStr">
        <is>
          <t>Leads</t>
        </is>
      </c>
      <c r="E282" s="8" t="inlineStr">
        <is>
          <t>REQ-LEADS-02</t>
        </is>
      </c>
      <c r="F282" s="8" t="n"/>
      <c r="G282" s="7" t="inlineStr">
        <is>
          <t>Yes</t>
        </is>
      </c>
      <c r="H282" s="7" t="inlineStr">
        <is>
          <t>tests/leads.spec.ts</t>
        </is>
      </c>
      <c r="I282" s="8" t="inlineStr">
        <is>
          <t>Pass</t>
        </is>
      </c>
      <c r="J282" s="8" t="n"/>
      <c r="K282" s="7" t="n"/>
    </row>
    <row r="283">
      <c r="A283" s="7" t="inlineStr">
        <is>
          <t>L-10</t>
        </is>
      </c>
      <c r="B283" s="7" t="inlineStr">
        <is>
          <t>Active Leads (hub) = Total − Converted − Lost − Disqualified − Duplicate</t>
        </is>
      </c>
      <c r="C283" s="7" t="inlineStr">
        <is>
          <t>Core suite</t>
        </is>
      </c>
      <c r="D283" s="7" t="inlineStr">
        <is>
          <t>Hub, dashboard and report modules</t>
        </is>
      </c>
      <c r="E283" s="8" t="inlineStr">
        <is>
          <t>REQ-X-01</t>
        </is>
      </c>
      <c r="F283" s="8" t="n"/>
      <c r="G283" s="7" t="inlineStr">
        <is>
          <t>Yes</t>
        </is>
      </c>
      <c r="H283" s="7" t="inlineStr">
        <is>
          <t>tests/leads.spec.ts</t>
        </is>
      </c>
      <c r="I283" s="8" t="inlineStr">
        <is>
          <t>Fail</t>
        </is>
      </c>
      <c r="J283" s="8" t="inlineStr">
        <is>
          <t>DEF-06</t>
        </is>
      </c>
      <c r="K283" s="7" t="inlineStr">
        <is>
          <t>Error: expect(received).toBe(expected) // Object.is equality</t>
        </is>
      </c>
    </row>
    <row r="284">
      <c r="A284" s="7" t="inlineStr">
        <is>
          <t>BRK-01</t>
        </is>
      </c>
      <c r="B284" s="7" t="inlineStr">
        <is>
          <t>Opens from its card on the hub</t>
        </is>
      </c>
      <c r="C284" s="7" t="inlineStr">
        <is>
          <t>Page tests (POM)</t>
        </is>
      </c>
      <c r="D284" s="7" t="inlineStr">
        <is>
          <t>Broker Reports</t>
        </is>
      </c>
      <c r="E284" s="8" t="inlineStr">
        <is>
          <t>REQ-BRK-01</t>
        </is>
      </c>
      <c r="F284" s="8" t="n"/>
      <c r="G284" s="7" t="inlineStr">
        <is>
          <t>Yes</t>
        </is>
      </c>
      <c r="H284" s="7" t="inlineStr">
        <is>
          <t>tests/modules/broker-reports.spec.ts</t>
        </is>
      </c>
      <c r="I284" s="8" t="inlineStr">
        <is>
          <t>Pass</t>
        </is>
      </c>
      <c r="J284" s="8" t="n"/>
      <c r="K284" s="7" t="n"/>
    </row>
    <row r="285">
      <c r="A285" s="7" t="inlineStr">
        <is>
          <t>BRK-02</t>
        </is>
      </c>
      <c r="B285" s="7" t="inlineStr">
        <is>
          <t>Every KPI shows a valid value</t>
        </is>
      </c>
      <c r="C285" s="7" t="inlineStr">
        <is>
          <t>Page tests (POM)</t>
        </is>
      </c>
      <c r="D285" s="7" t="inlineStr">
        <is>
          <t>Broker Reports</t>
        </is>
      </c>
      <c r="E285" s="8" t="inlineStr">
        <is>
          <t>REQ-BRK-02</t>
        </is>
      </c>
      <c r="F285" s="8" t="n"/>
      <c r="G285" s="7" t="inlineStr">
        <is>
          <t>Yes</t>
        </is>
      </c>
      <c r="H285" s="7" t="inlineStr">
        <is>
          <t>tests/modules/broker-reports.spec.ts</t>
        </is>
      </c>
      <c r="I285" s="8" t="inlineStr">
        <is>
          <t>Pass</t>
        </is>
      </c>
      <c r="J285" s="8" t="n"/>
      <c r="K285" s="7" t="n"/>
    </row>
    <row r="286">
      <c r="A286" s="7" t="inlineStr">
        <is>
          <t>BRK-03</t>
        </is>
      </c>
      <c r="B286" s="7" t="inlineStr">
        <is>
          <t>Every table renders without errors</t>
        </is>
      </c>
      <c r="C286" s="7" t="inlineStr">
        <is>
          <t>Page tests (POM)</t>
        </is>
      </c>
      <c r="D286" s="7" t="inlineStr">
        <is>
          <t>Broker Reports</t>
        </is>
      </c>
      <c r="E286" s="8" t="inlineStr">
        <is>
          <t>REQ-BRK-02</t>
        </is>
      </c>
      <c r="F286" s="8" t="n"/>
      <c r="G286" s="7" t="inlineStr">
        <is>
          <t>Yes</t>
        </is>
      </c>
      <c r="H286" s="7" t="inlineStr">
        <is>
          <t>tests/modules/broker-reports.spec.ts</t>
        </is>
      </c>
      <c r="I286" s="8" t="inlineStr">
        <is>
          <t>Pass</t>
        </is>
      </c>
      <c r="J286" s="8" t="n"/>
      <c r="K286" s="7" t="n"/>
    </row>
    <row r="287">
      <c r="A287" s="7" t="inlineStr">
        <is>
          <t>BRK-04</t>
        </is>
      </c>
      <c r="B287" s="7" t="inlineStr">
        <is>
          <t>Every period reloads the report</t>
        </is>
      </c>
      <c r="C287" s="7" t="inlineStr">
        <is>
          <t>Page tests (POM)</t>
        </is>
      </c>
      <c r="D287" s="7" t="inlineStr">
        <is>
          <t>Broker Reports</t>
        </is>
      </c>
      <c r="E287" s="8" t="inlineStr">
        <is>
          <t>REQ-BRK-03</t>
        </is>
      </c>
      <c r="F287" s="8" t="n"/>
      <c r="G287" s="7" t="inlineStr">
        <is>
          <t>Yes</t>
        </is>
      </c>
      <c r="H287" s="7" t="inlineStr">
        <is>
          <t>tests/modules/broker-reports.spec.ts</t>
        </is>
      </c>
      <c r="I287" s="8" t="inlineStr">
        <is>
          <t>Pass</t>
        </is>
      </c>
      <c r="J287" s="8" t="n"/>
      <c r="K287" s="7" t="n"/>
    </row>
    <row r="288">
      <c r="A288" s="7" t="inlineStr">
        <is>
          <t>BRK-05</t>
        </is>
      </c>
      <c r="B288" s="7" t="inlineStr">
        <is>
          <t>Opens on "This month"</t>
        </is>
      </c>
      <c r="C288" s="7" t="inlineStr">
        <is>
          <t>Page tests (POM)</t>
        </is>
      </c>
      <c r="D288" s="7" t="inlineStr">
        <is>
          <t>Broker Reports</t>
        </is>
      </c>
      <c r="E288" s="8" t="inlineStr">
        <is>
          <t>REQ-BRK-03</t>
        </is>
      </c>
      <c r="F288" s="8" t="n"/>
      <c r="G288" s="7" t="inlineStr">
        <is>
          <t>Yes</t>
        </is>
      </c>
      <c r="H288" s="7" t="inlineStr">
        <is>
          <t>tests/modules/broker-reports.spec.ts</t>
        </is>
      </c>
      <c r="I288" s="8" t="inlineStr">
        <is>
          <t>Fail</t>
        </is>
      </c>
      <c r="J288" s="8" t="inlineStr">
        <is>
          <t>DEF-01</t>
        </is>
      </c>
      <c r="K288" s="7" t="inlineStr">
        <is>
          <t>Error: Default period</t>
        </is>
      </c>
    </row>
    <row r="289">
      <c r="A289" s="7" t="inlineStr">
        <is>
          <t>BRK-06</t>
        </is>
      </c>
      <c r="B289" s="7" t="inlineStr">
        <is>
          <t>Custom date range</t>
        </is>
      </c>
      <c r="C289" s="7" t="inlineStr">
        <is>
          <t>Page tests (POM)</t>
        </is>
      </c>
      <c r="D289" s="7" t="inlineStr">
        <is>
          <t>Broker Reports</t>
        </is>
      </c>
      <c r="E289" s="8" t="inlineStr">
        <is>
          <t>REQ-BRK-03</t>
        </is>
      </c>
      <c r="F289" s="8" t="n"/>
      <c r="G289" s="7" t="inlineStr">
        <is>
          <t>Yes</t>
        </is>
      </c>
      <c r="H289" s="7" t="inlineStr">
        <is>
          <t>tests/modules/broker-reports.spec.ts</t>
        </is>
      </c>
      <c r="I289" s="8" t="inlineStr">
        <is>
          <t>Pass</t>
        </is>
      </c>
      <c r="J289" s="8" t="n"/>
      <c r="K289" s="7" t="n"/>
    </row>
    <row r="290">
      <c r="A290" s="7" t="inlineStr">
        <is>
          <t>BRK-07</t>
        </is>
      </c>
      <c r="B290" s="7" t="inlineStr">
        <is>
          <t>Filters narrow the results</t>
        </is>
      </c>
      <c r="C290" s="7" t="inlineStr">
        <is>
          <t>Page tests (POM)</t>
        </is>
      </c>
      <c r="D290" s="7" t="inlineStr">
        <is>
          <t>Broker Reports</t>
        </is>
      </c>
      <c r="E290" s="8" t="inlineStr">
        <is>
          <t>REQ-BRK-04</t>
        </is>
      </c>
      <c r="F290" s="8" t="n"/>
      <c r="G290" s="7" t="inlineStr">
        <is>
          <t>Yes</t>
        </is>
      </c>
      <c r="H290" s="7" t="inlineStr">
        <is>
          <t>tests/modules/broker-reports.spec.ts</t>
        </is>
      </c>
      <c r="I290" s="8" t="inlineStr">
        <is>
          <t>Pass</t>
        </is>
      </c>
      <c r="J290" s="8" t="n"/>
      <c r="K290" s="7" t="n"/>
    </row>
    <row r="291">
      <c r="A291" s="7" t="inlineStr">
        <is>
          <t>BRK-08</t>
        </is>
      </c>
      <c r="B291" s="7" t="inlineStr">
        <is>
          <t>Views narrow the results</t>
        </is>
      </c>
      <c r="C291" s="7" t="inlineStr">
        <is>
          <t>Page tests (POM)</t>
        </is>
      </c>
      <c r="D291" s="7" t="inlineStr">
        <is>
          <t>Broker Reports</t>
        </is>
      </c>
      <c r="E291" s="8" t="inlineStr">
        <is>
          <t>REQ-BRK-04</t>
        </is>
      </c>
      <c r="F291" s="8" t="n"/>
      <c r="G291" s="7" t="inlineStr">
        <is>
          <t>Yes</t>
        </is>
      </c>
      <c r="H291" s="7" t="inlineStr">
        <is>
          <t>tests/modules/broker-reports.spec.ts</t>
        </is>
      </c>
      <c r="I291" s="8" t="inlineStr">
        <is>
          <t>Pass</t>
        </is>
      </c>
      <c r="J291" s="8" t="n"/>
      <c r="K291" s="7" t="n"/>
    </row>
    <row r="292">
      <c r="A292" s="7" t="inlineStr">
        <is>
          <t>BRK-09</t>
        </is>
      </c>
      <c r="B292" s="7" t="inlineStr">
        <is>
          <t>Reset filters</t>
        </is>
      </c>
      <c r="C292" s="7" t="inlineStr">
        <is>
          <t>Page tests (POM)</t>
        </is>
      </c>
      <c r="D292" s="7" t="inlineStr">
        <is>
          <t>Broker Reports</t>
        </is>
      </c>
      <c r="E292" s="8" t="inlineStr">
        <is>
          <t>REQ-BRK-04</t>
        </is>
      </c>
      <c r="F292" s="8" t="n"/>
      <c r="G292" s="7" t="inlineStr">
        <is>
          <t>Yes</t>
        </is>
      </c>
      <c r="H292" s="7" t="inlineStr">
        <is>
          <t>tests/modules/broker-reports.spec.ts</t>
        </is>
      </c>
      <c r="I292" s="8" t="inlineStr">
        <is>
          <t>Pass</t>
        </is>
      </c>
      <c r="J292" s="8" t="n"/>
      <c r="K292" s="7" t="n"/>
    </row>
    <row r="293">
      <c r="A293" s="7" t="inlineStr">
        <is>
          <t>BRK-10</t>
        </is>
      </c>
      <c r="B293" s="7" t="inlineStr">
        <is>
          <t>Panel exports match the tables</t>
        </is>
      </c>
      <c r="C293" s="7" t="inlineStr">
        <is>
          <t>Page tests (POM)</t>
        </is>
      </c>
      <c r="D293" s="7" t="inlineStr">
        <is>
          <t>Broker Reports</t>
        </is>
      </c>
      <c r="E293" s="8" t="inlineStr">
        <is>
          <t>REQ-BRK-05</t>
        </is>
      </c>
      <c r="F293" s="8" t="n"/>
      <c r="G293" s="7" t="inlineStr">
        <is>
          <t>Yes</t>
        </is>
      </c>
      <c r="H293" s="7" t="inlineStr">
        <is>
          <t>tests/modules/broker-reports.spec.ts</t>
        </is>
      </c>
      <c r="I293" s="8" t="inlineStr">
        <is>
          <t>Pass</t>
        </is>
      </c>
      <c r="J293" s="8" t="n"/>
      <c r="K293" s="7" t="n"/>
    </row>
    <row r="294">
      <c r="A294" s="7" t="inlineStr">
        <is>
          <t>BRK-11</t>
        </is>
      </c>
      <c r="B294" s="7" t="inlineStr">
        <is>
          <t>Tab bar and breadcrumb</t>
        </is>
      </c>
      <c r="C294" s="7" t="inlineStr">
        <is>
          <t>Page tests (POM)</t>
        </is>
      </c>
      <c r="D294" s="7" t="inlineStr">
        <is>
          <t>Broker Reports</t>
        </is>
      </c>
      <c r="E294" s="8" t="inlineStr">
        <is>
          <t>REQ-BRK-01</t>
        </is>
      </c>
      <c r="F294" s="8" t="n"/>
      <c r="G294" s="7" t="inlineStr">
        <is>
          <t>Yes</t>
        </is>
      </c>
      <c r="H294" s="7" t="inlineStr">
        <is>
          <t>tests/modules/broker-reports.spec.ts</t>
        </is>
      </c>
      <c r="I294" s="8" t="inlineStr">
        <is>
          <t>Pass</t>
        </is>
      </c>
      <c r="J294" s="8" t="n"/>
      <c r="K294" s="7" t="n"/>
    </row>
    <row r="295">
      <c r="A295" s="7" t="inlineStr">
        <is>
          <t>BRK-12</t>
        </is>
      </c>
      <c r="B295" s="7" t="inlineStr">
        <is>
          <t>Broker Performance adds up to the KPIs</t>
        </is>
      </c>
      <c r="C295" s="7" t="inlineStr">
        <is>
          <t>Page tests (POM)</t>
        </is>
      </c>
      <c r="D295" s="7" t="inlineStr">
        <is>
          <t>Broker Reports</t>
        </is>
      </c>
      <c r="E295" s="8" t="inlineStr">
        <is>
          <t>REQ-BRK-06</t>
        </is>
      </c>
      <c r="F295" s="8" t="n"/>
      <c r="G295" s="7" t="inlineStr">
        <is>
          <t>Yes</t>
        </is>
      </c>
      <c r="H295" s="7" t="inlineStr">
        <is>
          <t>tests/modules/broker-reports.spec.ts</t>
        </is>
      </c>
      <c r="I295" s="8" t="inlineStr">
        <is>
          <t>Pass</t>
        </is>
      </c>
      <c r="J295" s="8" t="n"/>
      <c r="K295" s="7" t="n"/>
    </row>
    <row r="296">
      <c r="A296" s="7" t="inlineStr">
        <is>
          <t>BRK-13</t>
        </is>
      </c>
      <c r="B296" s="7" t="inlineStr">
        <is>
          <t>Brokers with SPA and share of SPAs</t>
        </is>
      </c>
      <c r="C296" s="7" t="inlineStr">
        <is>
          <t>Page tests (POM)</t>
        </is>
      </c>
      <c r="D296" s="7" t="inlineStr">
        <is>
          <t>Broker Reports</t>
        </is>
      </c>
      <c r="E296" s="8" t="inlineStr">
        <is>
          <t>REQ-BRK-06</t>
        </is>
      </c>
      <c r="F296" s="8" t="n"/>
      <c r="G296" s="7" t="inlineStr">
        <is>
          <t>Yes</t>
        </is>
      </c>
      <c r="H296" s="7" t="inlineStr">
        <is>
          <t>tests/modules/broker-reports.spec.ts</t>
        </is>
      </c>
      <c r="I296" s="8" t="inlineStr">
        <is>
          <t>Pass</t>
        </is>
      </c>
      <c r="J296" s="8" t="n"/>
      <c r="K296" s="7" t="n"/>
    </row>
    <row r="297">
      <c r="A297" s="7" t="inlineStr">
        <is>
          <t>COL-01</t>
        </is>
      </c>
      <c r="B297" s="7" t="inlineStr">
        <is>
          <t>Opens from its card on the hub</t>
        </is>
      </c>
      <c r="C297" s="7" t="inlineStr">
        <is>
          <t>Page tests (POM)</t>
        </is>
      </c>
      <c r="D297" s="7" t="inlineStr">
        <is>
          <t>Collection Reports</t>
        </is>
      </c>
      <c r="E297" s="8" t="inlineStr">
        <is>
          <t>REQ-COL-01</t>
        </is>
      </c>
      <c r="F297" s="8" t="n"/>
      <c r="G297" s="7" t="inlineStr">
        <is>
          <t>Yes</t>
        </is>
      </c>
      <c r="H297" s="7" t="inlineStr">
        <is>
          <t>tests/modules/collection-reports.spec.ts</t>
        </is>
      </c>
      <c r="I297" s="8" t="inlineStr">
        <is>
          <t>Pass</t>
        </is>
      </c>
      <c r="J297" s="8" t="n"/>
      <c r="K297" s="7" t="n"/>
    </row>
    <row r="298">
      <c r="A298" s="7" t="inlineStr">
        <is>
          <t>COL-02</t>
        </is>
      </c>
      <c r="B298" s="7" t="inlineStr">
        <is>
          <t>Every KPI shows a valid value</t>
        </is>
      </c>
      <c r="C298" s="7" t="inlineStr">
        <is>
          <t>Page tests (POM)</t>
        </is>
      </c>
      <c r="D298" s="7" t="inlineStr">
        <is>
          <t>Collection Reports</t>
        </is>
      </c>
      <c r="E298" s="8" t="inlineStr">
        <is>
          <t>REQ-COL-02</t>
        </is>
      </c>
      <c r="F298" s="8" t="n"/>
      <c r="G298" s="7" t="inlineStr">
        <is>
          <t>Yes</t>
        </is>
      </c>
      <c r="H298" s="7" t="inlineStr">
        <is>
          <t>tests/modules/collection-reports.spec.ts</t>
        </is>
      </c>
      <c r="I298" s="8" t="inlineStr">
        <is>
          <t>Pass</t>
        </is>
      </c>
      <c r="J298" s="8" t="n"/>
      <c r="K298" s="7" t="n"/>
    </row>
    <row r="299">
      <c r="A299" s="7" t="inlineStr">
        <is>
          <t>COL-03</t>
        </is>
      </c>
      <c r="B299" s="7" t="inlineStr">
        <is>
          <t>Every table renders without errors</t>
        </is>
      </c>
      <c r="C299" s="7" t="inlineStr">
        <is>
          <t>Page tests (POM)</t>
        </is>
      </c>
      <c r="D299" s="7" t="inlineStr">
        <is>
          <t>Collection Reports</t>
        </is>
      </c>
      <c r="E299" s="8" t="inlineStr">
        <is>
          <t>REQ-COL-02</t>
        </is>
      </c>
      <c r="F299" s="8" t="n"/>
      <c r="G299" s="7" t="inlineStr">
        <is>
          <t>Yes</t>
        </is>
      </c>
      <c r="H299" s="7" t="inlineStr">
        <is>
          <t>tests/modules/collection-reports.spec.ts</t>
        </is>
      </c>
      <c r="I299" s="8" t="inlineStr">
        <is>
          <t>Pass</t>
        </is>
      </c>
      <c r="J299" s="8" t="n"/>
      <c r="K299" s="7" t="n"/>
    </row>
    <row r="300">
      <c r="A300" s="7" t="inlineStr">
        <is>
          <t>COL-04</t>
        </is>
      </c>
      <c r="B300" s="7" t="inlineStr">
        <is>
          <t>Every period reloads the report</t>
        </is>
      </c>
      <c r="C300" s="7" t="inlineStr">
        <is>
          <t>Page tests (POM)</t>
        </is>
      </c>
      <c r="D300" s="7" t="inlineStr">
        <is>
          <t>Collection Reports</t>
        </is>
      </c>
      <c r="E300" s="8" t="inlineStr">
        <is>
          <t>REQ-COL-03</t>
        </is>
      </c>
      <c r="F300" s="8" t="n"/>
      <c r="G300" s="7" t="inlineStr">
        <is>
          <t>Yes</t>
        </is>
      </c>
      <c r="H300" s="7" t="inlineStr">
        <is>
          <t>tests/modules/collection-reports.spec.ts</t>
        </is>
      </c>
      <c r="I300" s="8" t="inlineStr">
        <is>
          <t>Pass</t>
        </is>
      </c>
      <c r="J300" s="8" t="n"/>
      <c r="K300" s="7" t="n"/>
    </row>
    <row r="301">
      <c r="A301" s="7" t="inlineStr">
        <is>
          <t>COL-05</t>
        </is>
      </c>
      <c r="B301" s="7" t="inlineStr">
        <is>
          <t>Opens on "This month"</t>
        </is>
      </c>
      <c r="C301" s="7" t="inlineStr">
        <is>
          <t>Page tests (POM)</t>
        </is>
      </c>
      <c r="D301" s="7" t="inlineStr">
        <is>
          <t>Collection Reports</t>
        </is>
      </c>
      <c r="E301" s="8" t="inlineStr">
        <is>
          <t>REQ-COL-03</t>
        </is>
      </c>
      <c r="F301" s="8" t="n"/>
      <c r="G301" s="7" t="inlineStr">
        <is>
          <t>Yes</t>
        </is>
      </c>
      <c r="H301" s="7" t="inlineStr">
        <is>
          <t>tests/modules/collection-reports.spec.ts</t>
        </is>
      </c>
      <c r="I301" s="8" t="inlineStr">
        <is>
          <t>Fail</t>
        </is>
      </c>
      <c r="J301" s="8" t="inlineStr">
        <is>
          <t>DEF-01</t>
        </is>
      </c>
      <c r="K301" s="7" t="inlineStr">
        <is>
          <t>Error: Default period</t>
        </is>
      </c>
    </row>
    <row r="302">
      <c r="A302" s="7" t="inlineStr">
        <is>
          <t>COL-06</t>
        </is>
      </c>
      <c r="B302" s="7" t="inlineStr">
        <is>
          <t>Custom date range</t>
        </is>
      </c>
      <c r="C302" s="7" t="inlineStr">
        <is>
          <t>Page tests (POM)</t>
        </is>
      </c>
      <c r="D302" s="7" t="inlineStr">
        <is>
          <t>Collection Reports</t>
        </is>
      </c>
      <c r="E302" s="8" t="inlineStr">
        <is>
          <t>REQ-COL-03</t>
        </is>
      </c>
      <c r="F302" s="8" t="n"/>
      <c r="G302" s="7" t="inlineStr">
        <is>
          <t>Yes</t>
        </is>
      </c>
      <c r="H302" s="7" t="inlineStr">
        <is>
          <t>tests/modules/collection-reports.spec.ts</t>
        </is>
      </c>
      <c r="I302" s="8" t="inlineStr">
        <is>
          <t>Pass</t>
        </is>
      </c>
      <c r="J302" s="8" t="n"/>
      <c r="K302" s="7" t="n"/>
    </row>
    <row r="303">
      <c r="A303" s="7" t="inlineStr">
        <is>
          <t>COL-07</t>
        </is>
      </c>
      <c r="B303" s="7" t="inlineStr">
        <is>
          <t>Filters narrow the results</t>
        </is>
      </c>
      <c r="C303" s="7" t="inlineStr">
        <is>
          <t>Page tests (POM)</t>
        </is>
      </c>
      <c r="D303" s="7" t="inlineStr">
        <is>
          <t>Collection Reports</t>
        </is>
      </c>
      <c r="E303" s="8" t="inlineStr">
        <is>
          <t>REQ-COL-04</t>
        </is>
      </c>
      <c r="F303" s="8" t="n"/>
      <c r="G303" s="7" t="inlineStr">
        <is>
          <t>Yes</t>
        </is>
      </c>
      <c r="H303" s="7" t="inlineStr">
        <is>
          <t>tests/modules/collection-reports.spec.ts</t>
        </is>
      </c>
      <c r="I303" s="8" t="inlineStr">
        <is>
          <t>Pass</t>
        </is>
      </c>
      <c r="J303" s="8" t="n"/>
      <c r="K303" s="7" t="n"/>
    </row>
    <row r="304">
      <c r="A304" s="7" t="inlineStr">
        <is>
          <t>COL-08</t>
        </is>
      </c>
      <c r="B304" s="7" t="inlineStr">
        <is>
          <t>Views narrow the results</t>
        </is>
      </c>
      <c r="C304" s="7" t="inlineStr">
        <is>
          <t>Page tests (POM)</t>
        </is>
      </c>
      <c r="D304" s="7" t="inlineStr">
        <is>
          <t>Collection Reports</t>
        </is>
      </c>
      <c r="E304" s="8" t="inlineStr">
        <is>
          <t>REQ-COL-04</t>
        </is>
      </c>
      <c r="F304" s="8" t="n"/>
      <c r="G304" s="7" t="inlineStr">
        <is>
          <t>Yes</t>
        </is>
      </c>
      <c r="H304" s="7" t="inlineStr">
        <is>
          <t>tests/modules/collection-reports.spec.ts</t>
        </is>
      </c>
      <c r="I304" s="8" t="inlineStr">
        <is>
          <t>Pass</t>
        </is>
      </c>
      <c r="J304" s="8" t="n"/>
      <c r="K304" s="7" t="n"/>
    </row>
    <row r="305">
      <c r="A305" s="7" t="inlineStr">
        <is>
          <t>COL-09</t>
        </is>
      </c>
      <c r="B305" s="7" t="inlineStr">
        <is>
          <t>Reset filters</t>
        </is>
      </c>
      <c r="C305" s="7" t="inlineStr">
        <is>
          <t>Page tests (POM)</t>
        </is>
      </c>
      <c r="D305" s="7" t="inlineStr">
        <is>
          <t>Collection Reports</t>
        </is>
      </c>
      <c r="E305" s="8" t="inlineStr">
        <is>
          <t>REQ-COL-04</t>
        </is>
      </c>
      <c r="F305" s="8" t="n"/>
      <c r="G305" s="7" t="inlineStr">
        <is>
          <t>Yes</t>
        </is>
      </c>
      <c r="H305" s="7" t="inlineStr">
        <is>
          <t>tests/modules/collection-reports.spec.ts</t>
        </is>
      </c>
      <c r="I305" s="8" t="inlineStr">
        <is>
          <t>Pass</t>
        </is>
      </c>
      <c r="J305" s="8" t="n"/>
      <c r="K305" s="7" t="n"/>
    </row>
    <row r="306">
      <c r="A306" s="7" t="inlineStr">
        <is>
          <t>COL-10</t>
        </is>
      </c>
      <c r="B306" s="7" t="inlineStr">
        <is>
          <t>Panel exports match the tables</t>
        </is>
      </c>
      <c r="C306" s="7" t="inlineStr">
        <is>
          <t>Page tests (POM)</t>
        </is>
      </c>
      <c r="D306" s="7" t="inlineStr">
        <is>
          <t>Collection Reports</t>
        </is>
      </c>
      <c r="E306" s="8" t="inlineStr">
        <is>
          <t>REQ-COL-05</t>
        </is>
      </c>
      <c r="F306" s="8" t="n"/>
      <c r="G306" s="7" t="inlineStr">
        <is>
          <t>Yes</t>
        </is>
      </c>
      <c r="H306" s="7" t="inlineStr">
        <is>
          <t>tests/modules/collection-reports.spec.ts</t>
        </is>
      </c>
      <c r="I306" s="8" t="inlineStr">
        <is>
          <t>Pass</t>
        </is>
      </c>
      <c r="J306" s="8" t="n"/>
      <c r="K306" s="7" t="n"/>
    </row>
    <row r="307">
      <c r="A307" s="7" t="inlineStr">
        <is>
          <t>COL-11</t>
        </is>
      </c>
      <c r="B307" s="7" t="inlineStr">
        <is>
          <t>Tab bar and breadcrumb</t>
        </is>
      </c>
      <c r="C307" s="7" t="inlineStr">
        <is>
          <t>Page tests (POM)</t>
        </is>
      </c>
      <c r="D307" s="7" t="inlineStr">
        <is>
          <t>Collection Reports</t>
        </is>
      </c>
      <c r="E307" s="8" t="inlineStr">
        <is>
          <t>REQ-COL-01</t>
        </is>
      </c>
      <c r="F307" s="8" t="n"/>
      <c r="G307" s="7" t="inlineStr">
        <is>
          <t>Yes</t>
        </is>
      </c>
      <c r="H307" s="7" t="inlineStr">
        <is>
          <t>tests/modules/collection-reports.spec.ts</t>
        </is>
      </c>
      <c r="I307" s="8" t="inlineStr">
        <is>
          <t>Pass</t>
        </is>
      </c>
      <c r="J307" s="8" t="n"/>
      <c r="K307" s="7" t="n"/>
    </row>
    <row r="308">
      <c r="A308" s="7" t="inlineStr">
        <is>
          <t>COL-12</t>
        </is>
      </c>
      <c r="B308" s="7" t="inlineStr">
        <is>
          <t>Scheduled − Received = Outstanding</t>
        </is>
      </c>
      <c r="C308" s="7" t="inlineStr">
        <is>
          <t>Page tests (POM)</t>
        </is>
      </c>
      <c r="D308" s="7" t="inlineStr">
        <is>
          <t>Collection Reports</t>
        </is>
      </c>
      <c r="E308" s="8" t="inlineStr">
        <is>
          <t>REQ-COL-06</t>
        </is>
      </c>
      <c r="F308" s="8" t="n"/>
      <c r="G308" s="7" t="inlineStr">
        <is>
          <t>Yes</t>
        </is>
      </c>
      <c r="H308" s="7" t="inlineStr">
        <is>
          <t>tests/modules/collection-reports.spec.ts</t>
        </is>
      </c>
      <c r="I308" s="8" t="inlineStr">
        <is>
          <t>Pass</t>
        </is>
      </c>
      <c r="J308" s="8" t="n"/>
      <c r="K308" s="7" t="n"/>
    </row>
    <row r="309">
      <c r="A309" s="7" t="inlineStr">
        <is>
          <t>COL-13</t>
        </is>
      </c>
      <c r="B309" s="7" t="inlineStr">
        <is>
          <t>Aging and project tables add up</t>
        </is>
      </c>
      <c r="C309" s="7" t="inlineStr">
        <is>
          <t>Page tests (POM)</t>
        </is>
      </c>
      <c r="D309" s="7" t="inlineStr">
        <is>
          <t>Collection Reports</t>
        </is>
      </c>
      <c r="E309" s="8" t="inlineStr">
        <is>
          <t>REQ-COL-06</t>
        </is>
      </c>
      <c r="F309" s="8" t="n"/>
      <c r="G309" s="7" t="inlineStr">
        <is>
          <t>Yes</t>
        </is>
      </c>
      <c r="H309" s="7" t="inlineStr">
        <is>
          <t>tests/modules/collection-reports.spec.ts</t>
        </is>
      </c>
      <c r="I309" s="8" t="inlineStr">
        <is>
          <t>Pass</t>
        </is>
      </c>
      <c r="J309" s="8" t="n"/>
      <c r="K309" s="7" t="n"/>
    </row>
    <row r="310">
      <c r="A310" s="7" t="inlineStr">
        <is>
          <t>COL-14</t>
        </is>
      </c>
      <c r="B310" s="7" t="inlineStr">
        <is>
          <t>Collection rate</t>
        </is>
      </c>
      <c r="C310" s="7" t="inlineStr">
        <is>
          <t>Page tests (POM)</t>
        </is>
      </c>
      <c r="D310" s="7" t="inlineStr">
        <is>
          <t>Collection Reports</t>
        </is>
      </c>
      <c r="E310" s="8" t="inlineStr">
        <is>
          <t>REQ-COL-06</t>
        </is>
      </c>
      <c r="F310" s="8" t="n"/>
      <c r="G310" s="7" t="inlineStr">
        <is>
          <t>Yes</t>
        </is>
      </c>
      <c r="H310" s="7" t="inlineStr">
        <is>
          <t>tests/modules/collection-reports.spec.ts</t>
        </is>
      </c>
      <c r="I310" s="8" t="inlineStr">
        <is>
          <t>Fail</t>
        </is>
      </c>
      <c r="J310" s="8" t="inlineStr">
        <is>
          <t>DEF-07</t>
        </is>
      </c>
      <c r="K310" s="7" t="inlineStr">
        <is>
          <t>Error: Collection rate: 1.1 vs 0.5976863753213367</t>
        </is>
      </c>
    </row>
    <row r="311">
      <c r="A311" s="7" t="inlineStr">
        <is>
          <t>CUS-01</t>
        </is>
      </c>
      <c r="B311" s="7" t="inlineStr">
        <is>
          <t>Opens from its card on the hub</t>
        </is>
      </c>
      <c r="C311" s="7" t="inlineStr">
        <is>
          <t>Page tests (POM)</t>
        </is>
      </c>
      <c r="D311" s="7" t="inlineStr">
        <is>
          <t>Customer Reports</t>
        </is>
      </c>
      <c r="E311" s="8" t="inlineStr">
        <is>
          <t>REQ-CUS-01</t>
        </is>
      </c>
      <c r="F311" s="8" t="n"/>
      <c r="G311" s="7" t="inlineStr">
        <is>
          <t>Yes</t>
        </is>
      </c>
      <c r="H311" s="7" t="inlineStr">
        <is>
          <t>tests/modules/customer-reports.spec.ts</t>
        </is>
      </c>
      <c r="I311" s="8" t="inlineStr">
        <is>
          <t>Pass</t>
        </is>
      </c>
      <c r="J311" s="8" t="n"/>
      <c r="K311" s="7" t="n"/>
    </row>
    <row r="312">
      <c r="A312" s="7" t="inlineStr">
        <is>
          <t>CUS-02</t>
        </is>
      </c>
      <c r="B312" s="7" t="inlineStr">
        <is>
          <t>Every KPI shows a valid value</t>
        </is>
      </c>
      <c r="C312" s="7" t="inlineStr">
        <is>
          <t>Page tests (POM)</t>
        </is>
      </c>
      <c r="D312" s="7" t="inlineStr">
        <is>
          <t>Customer Reports</t>
        </is>
      </c>
      <c r="E312" s="8" t="inlineStr">
        <is>
          <t>REQ-CUS-02</t>
        </is>
      </c>
      <c r="F312" s="8" t="n"/>
      <c r="G312" s="7" t="inlineStr">
        <is>
          <t>Yes</t>
        </is>
      </c>
      <c r="H312" s="7" t="inlineStr">
        <is>
          <t>tests/modules/customer-reports.spec.ts</t>
        </is>
      </c>
      <c r="I312" s="8" t="inlineStr">
        <is>
          <t>Pass</t>
        </is>
      </c>
      <c r="J312" s="8" t="n"/>
      <c r="K312" s="7" t="n"/>
    </row>
    <row r="313">
      <c r="A313" s="7" t="inlineStr">
        <is>
          <t>CUS-03</t>
        </is>
      </c>
      <c r="B313" s="7" t="inlineStr">
        <is>
          <t>Every table renders without errors</t>
        </is>
      </c>
      <c r="C313" s="7" t="inlineStr">
        <is>
          <t>Page tests (POM)</t>
        </is>
      </c>
      <c r="D313" s="7" t="inlineStr">
        <is>
          <t>Customer Reports</t>
        </is>
      </c>
      <c r="E313" s="8" t="inlineStr">
        <is>
          <t>REQ-CUS-02</t>
        </is>
      </c>
      <c r="F313" s="8" t="n"/>
      <c r="G313" s="7" t="inlineStr">
        <is>
          <t>Yes</t>
        </is>
      </c>
      <c r="H313" s="7" t="inlineStr">
        <is>
          <t>tests/modules/customer-reports.spec.ts</t>
        </is>
      </c>
      <c r="I313" s="8" t="inlineStr">
        <is>
          <t>Pass</t>
        </is>
      </c>
      <c r="J313" s="8" t="n"/>
      <c r="K313" s="7" t="n"/>
    </row>
    <row r="314">
      <c r="A314" s="7" t="inlineStr">
        <is>
          <t>CUS-04</t>
        </is>
      </c>
      <c r="B314" s="7" t="inlineStr">
        <is>
          <t>Every period reloads the report</t>
        </is>
      </c>
      <c r="C314" s="7" t="inlineStr">
        <is>
          <t>Page tests (POM)</t>
        </is>
      </c>
      <c r="D314" s="7" t="inlineStr">
        <is>
          <t>Customer Reports</t>
        </is>
      </c>
      <c r="E314" s="8" t="inlineStr">
        <is>
          <t>REQ-CUS-03</t>
        </is>
      </c>
      <c r="F314" s="8" t="n"/>
      <c r="G314" s="7" t="inlineStr">
        <is>
          <t>Yes</t>
        </is>
      </c>
      <c r="H314" s="7" t="inlineStr">
        <is>
          <t>tests/modules/customer-reports.spec.ts</t>
        </is>
      </c>
      <c r="I314" s="8" t="inlineStr">
        <is>
          <t>Pass</t>
        </is>
      </c>
      <c r="J314" s="8" t="n"/>
      <c r="K314" s="7" t="n"/>
    </row>
    <row r="315">
      <c r="A315" s="7" t="inlineStr">
        <is>
          <t>CUS-05</t>
        </is>
      </c>
      <c r="B315" s="7" t="inlineStr">
        <is>
          <t>Opens on "This month"</t>
        </is>
      </c>
      <c r="C315" s="7" t="inlineStr">
        <is>
          <t>Page tests (POM)</t>
        </is>
      </c>
      <c r="D315" s="7" t="inlineStr">
        <is>
          <t>Customer Reports</t>
        </is>
      </c>
      <c r="E315" s="8" t="inlineStr">
        <is>
          <t>REQ-CUS-03</t>
        </is>
      </c>
      <c r="F315" s="8" t="n"/>
      <c r="G315" s="7" t="inlineStr">
        <is>
          <t>Yes</t>
        </is>
      </c>
      <c r="H315" s="7" t="inlineStr">
        <is>
          <t>tests/modules/customer-reports.spec.ts</t>
        </is>
      </c>
      <c r="I315" s="8" t="inlineStr">
        <is>
          <t>Fail</t>
        </is>
      </c>
      <c r="J315" s="8" t="inlineStr">
        <is>
          <t>DEF-01</t>
        </is>
      </c>
      <c r="K315" s="7" t="inlineStr">
        <is>
          <t>Error: Default period</t>
        </is>
      </c>
    </row>
    <row r="316">
      <c r="A316" s="7" t="inlineStr">
        <is>
          <t>CUS-06</t>
        </is>
      </c>
      <c r="B316" s="7" t="inlineStr">
        <is>
          <t>Custom date range</t>
        </is>
      </c>
      <c r="C316" s="7" t="inlineStr">
        <is>
          <t>Page tests (POM)</t>
        </is>
      </c>
      <c r="D316" s="7" t="inlineStr">
        <is>
          <t>Customer Reports</t>
        </is>
      </c>
      <c r="E316" s="8" t="inlineStr">
        <is>
          <t>REQ-CUS-03</t>
        </is>
      </c>
      <c r="F316" s="8" t="n"/>
      <c r="G316" s="7" t="inlineStr">
        <is>
          <t>Yes</t>
        </is>
      </c>
      <c r="H316" s="7" t="inlineStr">
        <is>
          <t>tests/modules/customer-reports.spec.ts</t>
        </is>
      </c>
      <c r="I316" s="8" t="inlineStr">
        <is>
          <t>Pass</t>
        </is>
      </c>
      <c r="J316" s="8" t="n"/>
      <c r="K316" s="7" t="n"/>
    </row>
    <row r="317">
      <c r="A317" s="7" t="inlineStr">
        <is>
          <t>CUS-07</t>
        </is>
      </c>
      <c r="B317" s="7" t="inlineStr">
        <is>
          <t>Filters narrow the results</t>
        </is>
      </c>
      <c r="C317" s="7" t="inlineStr">
        <is>
          <t>Page tests (POM)</t>
        </is>
      </c>
      <c r="D317" s="7" t="inlineStr">
        <is>
          <t>Customer Reports</t>
        </is>
      </c>
      <c r="E317" s="8" t="inlineStr">
        <is>
          <t>REQ-CUS-04</t>
        </is>
      </c>
      <c r="F317" s="8" t="n"/>
      <c r="G317" s="7" t="inlineStr">
        <is>
          <t>Yes</t>
        </is>
      </c>
      <c r="H317" s="7" t="inlineStr">
        <is>
          <t>tests/modules/customer-reports.spec.ts</t>
        </is>
      </c>
      <c r="I317" s="8" t="inlineStr">
        <is>
          <t>Pass</t>
        </is>
      </c>
      <c r="J317" s="8" t="n"/>
      <c r="K317" s="7" t="n"/>
    </row>
    <row r="318">
      <c r="A318" s="7" t="inlineStr">
        <is>
          <t>CUS-08</t>
        </is>
      </c>
      <c r="B318" s="7" t="inlineStr">
        <is>
          <t>Views narrow the results</t>
        </is>
      </c>
      <c r="C318" s="7" t="inlineStr">
        <is>
          <t>Page tests (POM)</t>
        </is>
      </c>
      <c r="D318" s="7" t="inlineStr">
        <is>
          <t>Customer Reports</t>
        </is>
      </c>
      <c r="E318" s="8" t="inlineStr">
        <is>
          <t>REQ-CUS-04</t>
        </is>
      </c>
      <c r="F318" s="8" t="n"/>
      <c r="G318" s="7" t="inlineStr">
        <is>
          <t>Yes</t>
        </is>
      </c>
      <c r="H318" s="7" t="inlineStr">
        <is>
          <t>tests/modules/customer-reports.spec.ts</t>
        </is>
      </c>
      <c r="I318" s="8" t="inlineStr">
        <is>
          <t>Pass</t>
        </is>
      </c>
      <c r="J318" s="8" t="n"/>
      <c r="K318" s="7" t="n"/>
    </row>
    <row r="319">
      <c r="A319" s="7" t="inlineStr">
        <is>
          <t>CUS-09</t>
        </is>
      </c>
      <c r="B319" s="7" t="inlineStr">
        <is>
          <t>Reset filters</t>
        </is>
      </c>
      <c r="C319" s="7" t="inlineStr">
        <is>
          <t>Page tests (POM)</t>
        </is>
      </c>
      <c r="D319" s="7" t="inlineStr">
        <is>
          <t>Customer Reports</t>
        </is>
      </c>
      <c r="E319" s="8" t="inlineStr">
        <is>
          <t>REQ-CUS-04</t>
        </is>
      </c>
      <c r="F319" s="8" t="n"/>
      <c r="G319" s="7" t="inlineStr">
        <is>
          <t>Yes</t>
        </is>
      </c>
      <c r="H319" s="7" t="inlineStr">
        <is>
          <t>tests/modules/customer-reports.spec.ts</t>
        </is>
      </c>
      <c r="I319" s="8" t="inlineStr">
        <is>
          <t>Pass</t>
        </is>
      </c>
      <c r="J319" s="8" t="n"/>
      <c r="K319" s="7" t="n"/>
    </row>
    <row r="320">
      <c r="A320" s="7" t="inlineStr">
        <is>
          <t>CUS-10</t>
        </is>
      </c>
      <c r="B320" s="7" t="inlineStr">
        <is>
          <t>Panel exports match the tables</t>
        </is>
      </c>
      <c r="C320" s="7" t="inlineStr">
        <is>
          <t>Page tests (POM)</t>
        </is>
      </c>
      <c r="D320" s="7" t="inlineStr">
        <is>
          <t>Customer Reports</t>
        </is>
      </c>
      <c r="E320" s="8" t="inlineStr">
        <is>
          <t>REQ-CUS-05</t>
        </is>
      </c>
      <c r="F320" s="8" t="n"/>
      <c r="G320" s="7" t="inlineStr">
        <is>
          <t>Yes</t>
        </is>
      </c>
      <c r="H320" s="7" t="inlineStr">
        <is>
          <t>tests/modules/customer-reports.spec.ts</t>
        </is>
      </c>
      <c r="I320" s="8" t="inlineStr">
        <is>
          <t>Pass</t>
        </is>
      </c>
      <c r="J320" s="8" t="n"/>
      <c r="K320" s="7" t="n"/>
    </row>
    <row r="321">
      <c r="A321" s="7" t="inlineStr">
        <is>
          <t>CUS-11</t>
        </is>
      </c>
      <c r="B321" s="7" t="inlineStr">
        <is>
          <t>Tab bar and breadcrumb</t>
        </is>
      </c>
      <c r="C321" s="7" t="inlineStr">
        <is>
          <t>Page tests (POM)</t>
        </is>
      </c>
      <c r="D321" s="7" t="inlineStr">
        <is>
          <t>Customer Reports</t>
        </is>
      </c>
      <c r="E321" s="8" t="inlineStr">
        <is>
          <t>REQ-CUS-01</t>
        </is>
      </c>
      <c r="F321" s="8" t="n"/>
      <c r="G321" s="7" t="inlineStr">
        <is>
          <t>Yes</t>
        </is>
      </c>
      <c r="H321" s="7" t="inlineStr">
        <is>
          <t>tests/modules/customer-reports.spec.ts</t>
        </is>
      </c>
      <c r="I321" s="8" t="inlineStr">
        <is>
          <t>Pass</t>
        </is>
      </c>
      <c r="J321" s="8" t="n"/>
      <c r="K321" s="7" t="n"/>
    </row>
    <row r="322">
      <c r="A322" s="7" t="inlineStr">
        <is>
          <t>CUS-12</t>
        </is>
      </c>
      <c r="B322" s="7" t="inlineStr">
        <is>
          <t>Breakdown tables add up to the KPIs</t>
        </is>
      </c>
      <c r="C322" s="7" t="inlineStr">
        <is>
          <t>Page tests (POM)</t>
        </is>
      </c>
      <c r="D322" s="7" t="inlineStr">
        <is>
          <t>Customer Reports</t>
        </is>
      </c>
      <c r="E322" s="8" t="inlineStr">
        <is>
          <t>REQ-CUS-06</t>
        </is>
      </c>
      <c r="F322" s="8" t="n"/>
      <c r="G322" s="7" t="inlineStr">
        <is>
          <t>Yes</t>
        </is>
      </c>
      <c r="H322" s="7" t="inlineStr">
        <is>
          <t>tests/modules/customer-reports.spec.ts</t>
        </is>
      </c>
      <c r="I322" s="8" t="inlineStr">
        <is>
          <t>Pass</t>
        </is>
      </c>
      <c r="J322" s="8" t="n"/>
      <c r="K322" s="7" t="n"/>
    </row>
    <row r="323">
      <c r="A323" s="7" t="inlineStr">
        <is>
          <t>CUS-13</t>
        </is>
      </c>
      <c r="B323" s="7" t="inlineStr">
        <is>
          <t>New customers list and average value</t>
        </is>
      </c>
      <c r="C323" s="7" t="inlineStr">
        <is>
          <t>Page tests (POM)</t>
        </is>
      </c>
      <c r="D323" s="7" t="inlineStr">
        <is>
          <t>Customer Reports</t>
        </is>
      </c>
      <c r="E323" s="8" t="inlineStr">
        <is>
          <t>REQ-CUS-06</t>
        </is>
      </c>
      <c r="F323" s="8" t="n"/>
      <c r="G323" s="7" t="inlineStr">
        <is>
          <t>Yes</t>
        </is>
      </c>
      <c r="H323" s="7" t="inlineStr">
        <is>
          <t>tests/modules/customer-reports.spec.ts</t>
        </is>
      </c>
      <c r="I323" s="8" t="inlineStr">
        <is>
          <t>Pass</t>
        </is>
      </c>
      <c r="J323" s="8" t="n"/>
      <c r="K323" s="7" t="n"/>
    </row>
    <row r="324">
      <c r="A324" s="7" t="inlineStr">
        <is>
          <t>CUS-14</t>
        </is>
      </c>
      <c r="B324" s="7" t="inlineStr">
        <is>
          <t>SPA value follows the period</t>
        </is>
      </c>
      <c r="C324" s="7" t="inlineStr">
        <is>
          <t>Page tests (POM)</t>
        </is>
      </c>
      <c r="D324" s="7" t="inlineStr">
        <is>
          <t>Customer Reports</t>
        </is>
      </c>
      <c r="E324" s="8" t="inlineStr">
        <is>
          <t>REQ-CUS-06</t>
        </is>
      </c>
      <c r="F324" s="8" t="n"/>
      <c r="G324" s="7" t="inlineStr">
        <is>
          <t>Yes</t>
        </is>
      </c>
      <c r="H324" s="7" t="inlineStr">
        <is>
          <t>tests/modules/customer-reports.spec.ts</t>
        </is>
      </c>
      <c r="I324" s="8" t="inlineStr">
        <is>
          <t>Fail</t>
        </is>
      </c>
      <c r="J324" s="8" t="inlineStr">
        <is>
          <t>DEF-08</t>
        </is>
      </c>
      <c r="K324" s="7" t="inlineStr">
        <is>
          <t>Error: Customers SPA value 149910000 vs SPA Signed value 3980000: 149910000 vs 3980000</t>
        </is>
      </c>
    </row>
    <row r="325">
      <c r="A325" s="7" t="inlineStr">
        <is>
          <t>EXC-01</t>
        </is>
      </c>
      <c r="B325" s="7" t="inlineStr">
        <is>
          <t>Opens from its card on the hub</t>
        </is>
      </c>
      <c r="C325" s="7" t="inlineStr">
        <is>
          <t>Page tests (POM)</t>
        </is>
      </c>
      <c r="D325" s="7" t="inlineStr">
        <is>
          <t>Exception Reports</t>
        </is>
      </c>
      <c r="E325" s="8" t="inlineStr">
        <is>
          <t>REQ-EXC-01</t>
        </is>
      </c>
      <c r="F325" s="8" t="n"/>
      <c r="G325" s="7" t="inlineStr">
        <is>
          <t>Yes</t>
        </is>
      </c>
      <c r="H325" s="7" t="inlineStr">
        <is>
          <t>tests/modules/exception-reports.spec.ts</t>
        </is>
      </c>
      <c r="I325" s="8" t="inlineStr">
        <is>
          <t>Pass</t>
        </is>
      </c>
      <c r="J325" s="8" t="n"/>
      <c r="K325" s="7" t="n"/>
    </row>
    <row r="326">
      <c r="A326" s="7" t="inlineStr">
        <is>
          <t>EXC-02</t>
        </is>
      </c>
      <c r="B326" s="7" t="inlineStr">
        <is>
          <t>Every KPI shows a valid value</t>
        </is>
      </c>
      <c r="C326" s="7" t="inlineStr">
        <is>
          <t>Page tests (POM)</t>
        </is>
      </c>
      <c r="D326" s="7" t="inlineStr">
        <is>
          <t>Exception Reports</t>
        </is>
      </c>
      <c r="E326" s="8" t="inlineStr">
        <is>
          <t>REQ-EXC-02</t>
        </is>
      </c>
      <c r="F326" s="8" t="n"/>
      <c r="G326" s="7" t="inlineStr">
        <is>
          <t>Yes</t>
        </is>
      </c>
      <c r="H326" s="7" t="inlineStr">
        <is>
          <t>tests/modules/exception-reports.spec.ts</t>
        </is>
      </c>
      <c r="I326" s="8" t="inlineStr">
        <is>
          <t>Pass</t>
        </is>
      </c>
      <c r="J326" s="8" t="n"/>
      <c r="K326" s="7" t="n"/>
    </row>
    <row r="327">
      <c r="A327" s="7" t="inlineStr">
        <is>
          <t>EXC-03</t>
        </is>
      </c>
      <c r="B327" s="7" t="inlineStr">
        <is>
          <t>Every table renders without errors</t>
        </is>
      </c>
      <c r="C327" s="7" t="inlineStr">
        <is>
          <t>Page tests (POM)</t>
        </is>
      </c>
      <c r="D327" s="7" t="inlineStr">
        <is>
          <t>Exception Reports</t>
        </is>
      </c>
      <c r="E327" s="8" t="inlineStr">
        <is>
          <t>REQ-EXC-02</t>
        </is>
      </c>
      <c r="F327" s="8" t="n"/>
      <c r="G327" s="7" t="inlineStr">
        <is>
          <t>Yes</t>
        </is>
      </c>
      <c r="H327" s="7" t="inlineStr">
        <is>
          <t>tests/modules/exception-reports.spec.ts</t>
        </is>
      </c>
      <c r="I327" s="8" t="inlineStr">
        <is>
          <t>Pass</t>
        </is>
      </c>
      <c r="J327" s="8" t="n"/>
      <c r="K327" s="7" t="n"/>
    </row>
    <row r="328">
      <c r="A328" s="7" t="inlineStr">
        <is>
          <t>EXC-04</t>
        </is>
      </c>
      <c r="B328" s="7" t="inlineStr">
        <is>
          <t>Every period reloads the report</t>
        </is>
      </c>
      <c r="C328" s="7" t="inlineStr">
        <is>
          <t>Page tests (POM)</t>
        </is>
      </c>
      <c r="D328" s="7" t="inlineStr">
        <is>
          <t>Exception Reports</t>
        </is>
      </c>
      <c r="E328" s="8" t="inlineStr">
        <is>
          <t>REQ-EXC-03</t>
        </is>
      </c>
      <c r="F328" s="8" t="n"/>
      <c r="G328" s="7" t="inlineStr">
        <is>
          <t>Yes</t>
        </is>
      </c>
      <c r="H328" s="7" t="inlineStr">
        <is>
          <t>tests/modules/exception-reports.spec.ts</t>
        </is>
      </c>
      <c r="I328" s="8" t="inlineStr">
        <is>
          <t>Pass</t>
        </is>
      </c>
      <c r="J328" s="8" t="n"/>
      <c r="K328" s="7" t="n"/>
    </row>
    <row r="329">
      <c r="A329" s="7" t="inlineStr">
        <is>
          <t>EXC-05</t>
        </is>
      </c>
      <c r="B329" s="7" t="inlineStr">
        <is>
          <t>Opens on "This month"</t>
        </is>
      </c>
      <c r="C329" s="7" t="inlineStr">
        <is>
          <t>Page tests (POM)</t>
        </is>
      </c>
      <c r="D329" s="7" t="inlineStr">
        <is>
          <t>Exception Reports</t>
        </is>
      </c>
      <c r="E329" s="8" t="inlineStr">
        <is>
          <t>REQ-EXC-03</t>
        </is>
      </c>
      <c r="F329" s="8" t="n"/>
      <c r="G329" s="7" t="inlineStr">
        <is>
          <t>Yes</t>
        </is>
      </c>
      <c r="H329" s="7" t="inlineStr">
        <is>
          <t>tests/modules/exception-reports.spec.ts</t>
        </is>
      </c>
      <c r="I329" s="8" t="inlineStr">
        <is>
          <t>Fail</t>
        </is>
      </c>
      <c r="J329" s="8" t="inlineStr">
        <is>
          <t>DEF-01</t>
        </is>
      </c>
      <c r="K329" s="7" t="inlineStr">
        <is>
          <t>Error: Default period</t>
        </is>
      </c>
    </row>
    <row r="330">
      <c r="A330" s="7" t="inlineStr">
        <is>
          <t>EXC-06</t>
        </is>
      </c>
      <c r="B330" s="7" t="inlineStr">
        <is>
          <t>Custom date range</t>
        </is>
      </c>
      <c r="C330" s="7" t="inlineStr">
        <is>
          <t>Page tests (POM)</t>
        </is>
      </c>
      <c r="D330" s="7" t="inlineStr">
        <is>
          <t>Exception Reports</t>
        </is>
      </c>
      <c r="E330" s="8" t="inlineStr">
        <is>
          <t>REQ-EXC-03</t>
        </is>
      </c>
      <c r="F330" s="8" t="n"/>
      <c r="G330" s="7" t="inlineStr">
        <is>
          <t>Yes</t>
        </is>
      </c>
      <c r="H330" s="7" t="inlineStr">
        <is>
          <t>tests/modules/exception-reports.spec.ts</t>
        </is>
      </c>
      <c r="I330" s="8" t="inlineStr">
        <is>
          <t>Pass</t>
        </is>
      </c>
      <c r="J330" s="8" t="n"/>
      <c r="K330" s="7" t="n"/>
    </row>
    <row r="331">
      <c r="A331" s="7" t="inlineStr">
        <is>
          <t>EXC-07</t>
        </is>
      </c>
      <c r="B331" s="7" t="inlineStr">
        <is>
          <t>Filters narrow the results</t>
        </is>
      </c>
      <c r="C331" s="7" t="inlineStr">
        <is>
          <t>Page tests (POM)</t>
        </is>
      </c>
      <c r="D331" s="7" t="inlineStr">
        <is>
          <t>Exception Reports</t>
        </is>
      </c>
      <c r="E331" s="8" t="inlineStr">
        <is>
          <t>REQ-EXC-04</t>
        </is>
      </c>
      <c r="F331" s="8" t="n"/>
      <c r="G331" s="7" t="inlineStr">
        <is>
          <t>Yes</t>
        </is>
      </c>
      <c r="H331" s="7" t="inlineStr">
        <is>
          <t>tests/modules/exception-reports.spec.ts</t>
        </is>
      </c>
      <c r="I331" s="8" t="inlineStr">
        <is>
          <t>Pass</t>
        </is>
      </c>
      <c r="J331" s="8" t="n"/>
      <c r="K331" s="7" t="n"/>
    </row>
    <row r="332">
      <c r="A332" s="7" t="inlineStr">
        <is>
          <t>EXC-08</t>
        </is>
      </c>
      <c r="B332" s="7" t="inlineStr">
        <is>
          <t>Views narrow the results</t>
        </is>
      </c>
      <c r="C332" s="7" t="inlineStr">
        <is>
          <t>Page tests (POM)</t>
        </is>
      </c>
      <c r="D332" s="7" t="inlineStr">
        <is>
          <t>Exception Reports</t>
        </is>
      </c>
      <c r="E332" s="8" t="inlineStr">
        <is>
          <t>REQ-EXC-04</t>
        </is>
      </c>
      <c r="F332" s="8" t="n"/>
      <c r="G332" s="7" t="inlineStr">
        <is>
          <t>Yes</t>
        </is>
      </c>
      <c r="H332" s="7" t="inlineStr">
        <is>
          <t>tests/modules/exception-reports.spec.ts</t>
        </is>
      </c>
      <c r="I332" s="8" t="inlineStr">
        <is>
          <t>Pass</t>
        </is>
      </c>
      <c r="J332" s="8" t="n"/>
      <c r="K332" s="7" t="n"/>
    </row>
    <row r="333">
      <c r="A333" s="7" t="inlineStr">
        <is>
          <t>EXC-09</t>
        </is>
      </c>
      <c r="B333" s="7" t="inlineStr">
        <is>
          <t>Reset filters</t>
        </is>
      </c>
      <c r="C333" s="7" t="inlineStr">
        <is>
          <t>Page tests (POM)</t>
        </is>
      </c>
      <c r="D333" s="7" t="inlineStr">
        <is>
          <t>Exception Reports</t>
        </is>
      </c>
      <c r="E333" s="8" t="inlineStr">
        <is>
          <t>REQ-EXC-04</t>
        </is>
      </c>
      <c r="F333" s="8" t="n"/>
      <c r="G333" s="7" t="inlineStr">
        <is>
          <t>Yes</t>
        </is>
      </c>
      <c r="H333" s="7" t="inlineStr">
        <is>
          <t>tests/modules/exception-reports.spec.ts</t>
        </is>
      </c>
      <c r="I333" s="8" t="inlineStr">
        <is>
          <t>Pass</t>
        </is>
      </c>
      <c r="J333" s="8" t="n"/>
      <c r="K333" s="7" t="n"/>
    </row>
    <row r="334">
      <c r="A334" s="7" t="inlineStr">
        <is>
          <t>EXC-10</t>
        </is>
      </c>
      <c r="B334" s="7" t="inlineStr">
        <is>
          <t>Panel exports match the tables</t>
        </is>
      </c>
      <c r="C334" s="7" t="inlineStr">
        <is>
          <t>Page tests (POM)</t>
        </is>
      </c>
      <c r="D334" s="7" t="inlineStr">
        <is>
          <t>Exception Reports</t>
        </is>
      </c>
      <c r="E334" s="8" t="inlineStr">
        <is>
          <t>REQ-EXC-05</t>
        </is>
      </c>
      <c r="F334" s="8" t="n"/>
      <c r="G334" s="7" t="inlineStr">
        <is>
          <t>Yes</t>
        </is>
      </c>
      <c r="H334" s="7" t="inlineStr">
        <is>
          <t>tests/modules/exception-reports.spec.ts</t>
        </is>
      </c>
      <c r="I334" s="8" t="inlineStr">
        <is>
          <t>Pass</t>
        </is>
      </c>
      <c r="J334" s="8" t="n"/>
      <c r="K334" s="7" t="n"/>
    </row>
    <row r="335">
      <c r="A335" s="7" t="inlineStr">
        <is>
          <t>EXC-11</t>
        </is>
      </c>
      <c r="B335" s="7" t="inlineStr">
        <is>
          <t>Tab bar and breadcrumb</t>
        </is>
      </c>
      <c r="C335" s="7" t="inlineStr">
        <is>
          <t>Page tests (POM)</t>
        </is>
      </c>
      <c r="D335" s="7" t="inlineStr">
        <is>
          <t>Exception Reports</t>
        </is>
      </c>
      <c r="E335" s="8" t="inlineStr">
        <is>
          <t>REQ-EXC-01</t>
        </is>
      </c>
      <c r="F335" s="8" t="n"/>
      <c r="G335" s="7" t="inlineStr">
        <is>
          <t>Yes</t>
        </is>
      </c>
      <c r="H335" s="7" t="inlineStr">
        <is>
          <t>tests/modules/exception-reports.spec.ts</t>
        </is>
      </c>
      <c r="I335" s="8" t="inlineStr">
        <is>
          <t>Pass</t>
        </is>
      </c>
      <c r="J335" s="8" t="n"/>
      <c r="K335" s="7" t="n"/>
    </row>
    <row r="336">
      <c r="A336" s="7" t="inlineStr">
        <is>
          <t>EXC-12</t>
        </is>
      </c>
      <c r="B336" s="7" t="inlineStr">
        <is>
          <t>Exception Summary adds up to Open exceptions</t>
        </is>
      </c>
      <c r="C336" s="7" t="inlineStr">
        <is>
          <t>Page tests (POM)</t>
        </is>
      </c>
      <c r="D336" s="7" t="inlineStr">
        <is>
          <t>Exception Reports</t>
        </is>
      </c>
      <c r="E336" s="8" t="inlineStr">
        <is>
          <t>REQ-EXC-06</t>
        </is>
      </c>
      <c r="F336" s="8" t="n"/>
      <c r="G336" s="7" t="inlineStr">
        <is>
          <t>Yes</t>
        </is>
      </c>
      <c r="H336" s="7" t="inlineStr">
        <is>
          <t>tests/modules/exception-reports.spec.ts</t>
        </is>
      </c>
      <c r="I336" s="8" t="inlineStr">
        <is>
          <t>Pass</t>
        </is>
      </c>
      <c r="J336" s="8" t="n"/>
      <c r="K336" s="7" t="n"/>
    </row>
    <row r="337">
      <c r="A337" s="7" t="inlineStr">
        <is>
          <t>EXC-13</t>
        </is>
      </c>
      <c r="B337" s="7" t="inlineStr">
        <is>
          <t>KPI cards equal their summary rows</t>
        </is>
      </c>
      <c r="C337" s="7" t="inlineStr">
        <is>
          <t>Page tests (POM)</t>
        </is>
      </c>
      <c r="D337" s="7" t="inlineStr">
        <is>
          <t>Exception Reports</t>
        </is>
      </c>
      <c r="E337" s="8" t="inlineStr">
        <is>
          <t>REQ-EXC-06</t>
        </is>
      </c>
      <c r="F337" s="8" t="n"/>
      <c r="G337" s="7" t="inlineStr">
        <is>
          <t>Yes</t>
        </is>
      </c>
      <c r="H337" s="7" t="inlineStr">
        <is>
          <t>tests/modules/exception-reports.spec.ts</t>
        </is>
      </c>
      <c r="I337" s="8" t="inlineStr">
        <is>
          <t>Pass</t>
        </is>
      </c>
      <c r="J337" s="8" t="n"/>
      <c r="K337" s="7" t="n"/>
    </row>
    <row r="338">
      <c r="A338" s="7" t="inlineStr">
        <is>
          <t>EXC-14</t>
        </is>
      </c>
      <c r="B338" s="7" t="inlineStr">
        <is>
          <t>Detail lists match the summary counts</t>
        </is>
      </c>
      <c r="C338" s="7" t="inlineStr">
        <is>
          <t>Page tests (POM)</t>
        </is>
      </c>
      <c r="D338" s="7" t="inlineStr">
        <is>
          <t>Exception Reports</t>
        </is>
      </c>
      <c r="E338" s="8" t="inlineStr">
        <is>
          <t>REQ-EXC-06</t>
        </is>
      </c>
      <c r="F338" s="8" t="n"/>
      <c r="G338" s="7" t="inlineStr">
        <is>
          <t>Yes</t>
        </is>
      </c>
      <c r="H338" s="7" t="inlineStr">
        <is>
          <t>tests/modules/exception-reports.spec.ts</t>
        </is>
      </c>
      <c r="I338" s="8" t="inlineStr">
        <is>
          <t>Pass</t>
        </is>
      </c>
      <c r="J338" s="8" t="n"/>
      <c r="K338" s="7" t="n"/>
    </row>
    <row r="339">
      <c r="A339" s="7" t="inlineStr">
        <is>
          <t>EXC-15</t>
        </is>
      </c>
      <c r="B339" s="7" t="inlineStr">
        <is>
          <t>Reservations past expiry agrees with Reservation Reports</t>
        </is>
      </c>
      <c r="C339" s="7" t="inlineStr">
        <is>
          <t>Page tests (POM)</t>
        </is>
      </c>
      <c r="D339" s="7" t="inlineStr">
        <is>
          <t>Exception Reports</t>
        </is>
      </c>
      <c r="E339" s="8" t="inlineStr">
        <is>
          <t>REQ-EXC-06</t>
        </is>
      </c>
      <c r="F339" s="8" t="n"/>
      <c r="G339" s="7" t="inlineStr">
        <is>
          <t>Yes</t>
        </is>
      </c>
      <c r="H339" s="7" t="inlineStr">
        <is>
          <t>tests/modules/exception-reports.spec.ts</t>
        </is>
      </c>
      <c r="I339" s="8" t="inlineStr">
        <is>
          <t>Pass</t>
        </is>
      </c>
      <c r="J339" s="8" t="n"/>
      <c r="K339" s="7" t="n"/>
    </row>
    <row r="340">
      <c r="A340" s="7" t="inlineStr">
        <is>
          <t>EXE-01</t>
        </is>
      </c>
      <c r="B340" s="7" t="inlineStr">
        <is>
          <t>Opens from its card on the hub</t>
        </is>
      </c>
      <c r="C340" s="7" t="inlineStr">
        <is>
          <t>Page tests (POM)</t>
        </is>
      </c>
      <c r="D340" s="7" t="inlineStr">
        <is>
          <t>Executive Reports (dashboard)</t>
        </is>
      </c>
      <c r="E340" s="8" t="inlineStr">
        <is>
          <t>REQ-EXE-01</t>
        </is>
      </c>
      <c r="F340" s="8" t="n"/>
      <c r="G340" s="7" t="inlineStr">
        <is>
          <t>Yes</t>
        </is>
      </c>
      <c r="H340" s="7" t="inlineStr">
        <is>
          <t>tests/modules/executive-reports.spec.ts</t>
        </is>
      </c>
      <c r="I340" s="8" t="inlineStr">
        <is>
          <t>Pass</t>
        </is>
      </c>
      <c r="J340" s="8" t="n"/>
      <c r="K340" s="7" t="n"/>
    </row>
    <row r="341">
      <c r="A341" s="7" t="inlineStr">
        <is>
          <t>EXE-02</t>
        </is>
      </c>
      <c r="B341" s="7" t="inlineStr">
        <is>
          <t>Every KPI shows a valid value</t>
        </is>
      </c>
      <c r="C341" s="7" t="inlineStr">
        <is>
          <t>Page tests (POM)</t>
        </is>
      </c>
      <c r="D341" s="7" t="inlineStr">
        <is>
          <t>Executive Reports (dashboard)</t>
        </is>
      </c>
      <c r="E341" s="8" t="inlineStr">
        <is>
          <t>REQ-EXE-02</t>
        </is>
      </c>
      <c r="F341" s="8" t="n"/>
      <c r="G341" s="7" t="inlineStr">
        <is>
          <t>Yes</t>
        </is>
      </c>
      <c r="H341" s="7" t="inlineStr">
        <is>
          <t>tests/modules/executive-reports.spec.ts</t>
        </is>
      </c>
      <c r="I341" s="8" t="inlineStr">
        <is>
          <t>Pass</t>
        </is>
      </c>
      <c r="J341" s="8" t="n"/>
      <c r="K341" s="7" t="n"/>
    </row>
    <row r="342">
      <c r="A342" s="7" t="inlineStr">
        <is>
          <t>EXE-03</t>
        </is>
      </c>
      <c r="B342" s="7" t="inlineStr">
        <is>
          <t>All panels render without errors</t>
        </is>
      </c>
      <c r="C342" s="7" t="inlineStr">
        <is>
          <t>Page tests (POM)</t>
        </is>
      </c>
      <c r="D342" s="7" t="inlineStr">
        <is>
          <t>Executive Reports (dashboard)</t>
        </is>
      </c>
      <c r="E342" s="8" t="inlineStr">
        <is>
          <t>REQ-EXE-02</t>
        </is>
      </c>
      <c r="F342" s="8" t="n"/>
      <c r="G342" s="7" t="inlineStr">
        <is>
          <t>Yes</t>
        </is>
      </c>
      <c r="H342" s="7" t="inlineStr">
        <is>
          <t>tests/modules/executive-reports.spec.ts</t>
        </is>
      </c>
      <c r="I342" s="8" t="inlineStr">
        <is>
          <t>Pass</t>
        </is>
      </c>
      <c r="J342" s="8" t="n"/>
      <c r="K342" s="7" t="n"/>
    </row>
    <row r="343">
      <c r="A343" s="7" t="inlineStr">
        <is>
          <t>EXE-04</t>
        </is>
      </c>
      <c r="B343" s="7" t="inlineStr">
        <is>
          <t>Every period reloads the dashboard</t>
        </is>
      </c>
      <c r="C343" s="7" t="inlineStr">
        <is>
          <t>Page tests (POM)</t>
        </is>
      </c>
      <c r="D343" s="7" t="inlineStr">
        <is>
          <t>Executive Reports (dashboard)</t>
        </is>
      </c>
      <c r="E343" s="8" t="inlineStr">
        <is>
          <t>REQ-EXE-03</t>
        </is>
      </c>
      <c r="F343" s="8" t="n"/>
      <c r="G343" s="7" t="inlineStr">
        <is>
          <t>Yes</t>
        </is>
      </c>
      <c r="H343" s="7" t="inlineStr">
        <is>
          <t>tests/modules/executive-reports.spec.ts</t>
        </is>
      </c>
      <c r="I343" s="8" t="inlineStr">
        <is>
          <t>Pass</t>
        </is>
      </c>
      <c r="J343" s="8" t="n"/>
      <c r="K343" s="7" t="n"/>
    </row>
    <row r="344">
      <c r="A344" s="7" t="inlineStr">
        <is>
          <t>EXE-05</t>
        </is>
      </c>
      <c r="B344" s="7" t="inlineStr">
        <is>
          <t>Lead Dashboard view</t>
        </is>
      </c>
      <c r="C344" s="7" t="inlineStr">
        <is>
          <t>Page tests (POM)</t>
        </is>
      </c>
      <c r="D344" s="7" t="inlineStr">
        <is>
          <t>Executive Reports (dashboard)</t>
        </is>
      </c>
      <c r="E344" s="8" t="inlineStr">
        <is>
          <t>REQ-EXE-03</t>
        </is>
      </c>
      <c r="F344" s="8" t="n"/>
      <c r="G344" s="7" t="inlineStr">
        <is>
          <t>Yes</t>
        </is>
      </c>
      <c r="H344" s="7" t="inlineStr">
        <is>
          <t>tests/modules/executive-reports.spec.ts</t>
        </is>
      </c>
      <c r="I344" s="8" t="inlineStr">
        <is>
          <t>Pass</t>
        </is>
      </c>
      <c r="J344" s="8" t="n"/>
      <c r="K344" s="7" t="n"/>
    </row>
    <row r="345">
      <c r="A345" s="7" t="inlineStr">
        <is>
          <t>EXE-06</t>
        </is>
      </c>
      <c r="B345" s="7" t="inlineStr">
        <is>
          <t>Collections Summary agrees with the KPI cards</t>
        </is>
      </c>
      <c r="C345" s="7" t="inlineStr">
        <is>
          <t>Page tests (POM)</t>
        </is>
      </c>
      <c r="D345" s="7" t="inlineStr">
        <is>
          <t>Executive Reports (dashboard)</t>
        </is>
      </c>
      <c r="E345" s="8" t="inlineStr">
        <is>
          <t>REQ-EXE-04</t>
        </is>
      </c>
      <c r="F345" s="8" t="n"/>
      <c r="G345" s="7" t="inlineStr">
        <is>
          <t>Yes</t>
        </is>
      </c>
      <c r="H345" s="7" t="inlineStr">
        <is>
          <t>tests/modules/executive-reports.spec.ts</t>
        </is>
      </c>
      <c r="I345" s="8" t="inlineStr">
        <is>
          <t>Pass</t>
        </is>
      </c>
      <c r="J345" s="8" t="n"/>
      <c r="K345" s="7" t="n"/>
    </row>
    <row r="346">
      <c r="A346" s="7" t="inlineStr">
        <is>
          <t>EXE-07</t>
        </is>
      </c>
      <c r="B346" s="7" t="inlineStr">
        <is>
          <t>KPIs agree with the hub snapshot</t>
        </is>
      </c>
      <c r="C346" s="7" t="inlineStr">
        <is>
          <t>Page tests (POM)</t>
        </is>
      </c>
      <c r="D346" s="7" t="inlineStr">
        <is>
          <t>Executive Reports (dashboard)</t>
        </is>
      </c>
      <c r="E346" s="8" t="inlineStr">
        <is>
          <t>REQ-EXE-04</t>
        </is>
      </c>
      <c r="F346" s="8" t="n"/>
      <c r="G346" s="7" t="inlineStr">
        <is>
          <t>Yes</t>
        </is>
      </c>
      <c r="H346" s="7" t="inlineStr">
        <is>
          <t>tests/modules/executive-reports.spec.ts</t>
        </is>
      </c>
      <c r="I346" s="8" t="inlineStr">
        <is>
          <t>Pass</t>
        </is>
      </c>
      <c r="J346" s="8" t="n"/>
      <c r="K346" s="7" t="n"/>
    </row>
    <row r="347">
      <c r="A347" s="7" t="inlineStr">
        <is>
          <t>EXE-08</t>
        </is>
      </c>
      <c r="B347" s="7" t="inlineStr">
        <is>
          <t>KPI cards open their records</t>
        </is>
      </c>
      <c r="C347" s="7" t="inlineStr">
        <is>
          <t>Page tests (POM)</t>
        </is>
      </c>
      <c r="D347" s="7" t="inlineStr">
        <is>
          <t>Executive Reports (dashboard)</t>
        </is>
      </c>
      <c r="E347" s="8" t="inlineStr">
        <is>
          <t>REQ-EXE-04</t>
        </is>
      </c>
      <c r="F347" s="8" t="n"/>
      <c r="G347" s="7" t="inlineStr">
        <is>
          <t>Yes</t>
        </is>
      </c>
      <c r="H347" s="7" t="inlineStr">
        <is>
          <t>tests/modules/executive-reports.spec.ts</t>
        </is>
      </c>
      <c r="I347" s="8" t="inlineStr">
        <is>
          <t>Pass</t>
        </is>
      </c>
      <c r="J347" s="8" t="n"/>
      <c r="K347" s="7" t="n"/>
    </row>
    <row r="348">
      <c r="A348" s="7" t="inlineStr">
        <is>
          <t>INV-01</t>
        </is>
      </c>
      <c r="B348" s="7" t="inlineStr">
        <is>
          <t>Opens from its card on the hub</t>
        </is>
      </c>
      <c r="C348" s="7" t="inlineStr">
        <is>
          <t>Page tests (POM)</t>
        </is>
      </c>
      <c r="D348" s="7" t="inlineStr">
        <is>
          <t>Inventory Reports</t>
        </is>
      </c>
      <c r="E348" s="8" t="inlineStr">
        <is>
          <t>REQ-INV-01</t>
        </is>
      </c>
      <c r="F348" s="8" t="n"/>
      <c r="G348" s="7" t="inlineStr">
        <is>
          <t>Yes</t>
        </is>
      </c>
      <c r="H348" s="7" t="inlineStr">
        <is>
          <t>tests/modules/inventory-reports.spec.ts</t>
        </is>
      </c>
      <c r="I348" s="8" t="inlineStr">
        <is>
          <t>Pass</t>
        </is>
      </c>
      <c r="J348" s="8" t="n"/>
      <c r="K348" s="7" t="n"/>
    </row>
    <row r="349">
      <c r="A349" s="7" t="inlineStr">
        <is>
          <t>INV-02</t>
        </is>
      </c>
      <c r="B349" s="7" t="inlineStr">
        <is>
          <t>Every KPI shows a valid value</t>
        </is>
      </c>
      <c r="C349" s="7" t="inlineStr">
        <is>
          <t>Page tests (POM)</t>
        </is>
      </c>
      <c r="D349" s="7" t="inlineStr">
        <is>
          <t>Inventory Reports</t>
        </is>
      </c>
      <c r="E349" s="8" t="inlineStr">
        <is>
          <t>REQ-INV-02</t>
        </is>
      </c>
      <c r="F349" s="8" t="n"/>
      <c r="G349" s="7" t="inlineStr">
        <is>
          <t>Yes</t>
        </is>
      </c>
      <c r="H349" s="7" t="inlineStr">
        <is>
          <t>tests/modules/inventory-reports.spec.ts</t>
        </is>
      </c>
      <c r="I349" s="8" t="inlineStr">
        <is>
          <t>Pass</t>
        </is>
      </c>
      <c r="J349" s="8" t="n"/>
      <c r="K349" s="7" t="n"/>
    </row>
    <row r="350">
      <c r="A350" s="7" t="inlineStr">
        <is>
          <t>INV-03</t>
        </is>
      </c>
      <c r="B350" s="7" t="inlineStr">
        <is>
          <t>Every table renders without errors</t>
        </is>
      </c>
      <c r="C350" s="7" t="inlineStr">
        <is>
          <t>Page tests (POM)</t>
        </is>
      </c>
      <c r="D350" s="7" t="inlineStr">
        <is>
          <t>Inventory Reports</t>
        </is>
      </c>
      <c r="E350" s="8" t="inlineStr">
        <is>
          <t>REQ-INV-02</t>
        </is>
      </c>
      <c r="F350" s="8" t="n"/>
      <c r="G350" s="7" t="inlineStr">
        <is>
          <t>Yes</t>
        </is>
      </c>
      <c r="H350" s="7" t="inlineStr">
        <is>
          <t>tests/modules/inventory-reports.spec.ts</t>
        </is>
      </c>
      <c r="I350" s="8" t="inlineStr">
        <is>
          <t>Pass</t>
        </is>
      </c>
      <c r="J350" s="8" t="n"/>
      <c r="K350" s="7" t="n"/>
    </row>
    <row r="351">
      <c r="A351" s="7" t="inlineStr">
        <is>
          <t>INV-04</t>
        </is>
      </c>
      <c r="B351" s="7" t="inlineStr">
        <is>
          <t>Every period reloads the report</t>
        </is>
      </c>
      <c r="C351" s="7" t="inlineStr">
        <is>
          <t>Page tests (POM)</t>
        </is>
      </c>
      <c r="D351" s="7" t="inlineStr">
        <is>
          <t>Inventory Reports</t>
        </is>
      </c>
      <c r="E351" s="8" t="inlineStr">
        <is>
          <t>REQ-INV-03</t>
        </is>
      </c>
      <c r="F351" s="8" t="n"/>
      <c r="G351" s="7" t="inlineStr">
        <is>
          <t>Yes</t>
        </is>
      </c>
      <c r="H351" s="7" t="inlineStr">
        <is>
          <t>tests/modules/inventory-reports.spec.ts</t>
        </is>
      </c>
      <c r="I351" s="8" t="inlineStr">
        <is>
          <t>Pass</t>
        </is>
      </c>
      <c r="J351" s="8" t="n"/>
      <c r="K351" s="7" t="n"/>
    </row>
    <row r="352">
      <c r="A352" s="7" t="inlineStr">
        <is>
          <t>INV-05</t>
        </is>
      </c>
      <c r="B352" s="7" t="inlineStr">
        <is>
          <t>Opens on "This month"</t>
        </is>
      </c>
      <c r="C352" s="7" t="inlineStr">
        <is>
          <t>Page tests (POM)</t>
        </is>
      </c>
      <c r="D352" s="7" t="inlineStr">
        <is>
          <t>Inventory Reports</t>
        </is>
      </c>
      <c r="E352" s="8" t="inlineStr">
        <is>
          <t>REQ-INV-03</t>
        </is>
      </c>
      <c r="F352" s="8" t="n"/>
      <c r="G352" s="7" t="inlineStr">
        <is>
          <t>Yes</t>
        </is>
      </c>
      <c r="H352" s="7" t="inlineStr">
        <is>
          <t>tests/modules/inventory-reports.spec.ts</t>
        </is>
      </c>
      <c r="I352" s="8" t="inlineStr">
        <is>
          <t>Fail</t>
        </is>
      </c>
      <c r="J352" s="8" t="inlineStr">
        <is>
          <t>DEF-01</t>
        </is>
      </c>
      <c r="K352" s="7" t="inlineStr">
        <is>
          <t>Error: Default period</t>
        </is>
      </c>
    </row>
    <row r="353">
      <c r="A353" s="7" t="inlineStr">
        <is>
          <t>INV-06</t>
        </is>
      </c>
      <c r="B353" s="7" t="inlineStr">
        <is>
          <t>Custom date range</t>
        </is>
      </c>
      <c r="C353" s="7" t="inlineStr">
        <is>
          <t>Page tests (POM)</t>
        </is>
      </c>
      <c r="D353" s="7" t="inlineStr">
        <is>
          <t>Inventory Reports</t>
        </is>
      </c>
      <c r="E353" s="8" t="inlineStr">
        <is>
          <t>REQ-INV-03</t>
        </is>
      </c>
      <c r="F353" s="8" t="n"/>
      <c r="G353" s="7" t="inlineStr">
        <is>
          <t>Yes</t>
        </is>
      </c>
      <c r="H353" s="7" t="inlineStr">
        <is>
          <t>tests/modules/inventory-reports.spec.ts</t>
        </is>
      </c>
      <c r="I353" s="8" t="inlineStr">
        <is>
          <t>Pass</t>
        </is>
      </c>
      <c r="J353" s="8" t="n"/>
      <c r="K353" s="7" t="n"/>
    </row>
    <row r="354">
      <c r="A354" s="7" t="inlineStr">
        <is>
          <t>INV-07</t>
        </is>
      </c>
      <c r="B354" s="7" t="inlineStr">
        <is>
          <t>Filters narrow the results</t>
        </is>
      </c>
      <c r="C354" s="7" t="inlineStr">
        <is>
          <t>Page tests (POM)</t>
        </is>
      </c>
      <c r="D354" s="7" t="inlineStr">
        <is>
          <t>Inventory Reports</t>
        </is>
      </c>
      <c r="E354" s="8" t="inlineStr">
        <is>
          <t>REQ-INV-04</t>
        </is>
      </c>
      <c r="F354" s="8" t="n"/>
      <c r="G354" s="7" t="inlineStr">
        <is>
          <t>Yes</t>
        </is>
      </c>
      <c r="H354" s="7" t="inlineStr">
        <is>
          <t>tests/modules/inventory-reports.spec.ts</t>
        </is>
      </c>
      <c r="I354" s="8" t="inlineStr">
        <is>
          <t>Pass</t>
        </is>
      </c>
      <c r="J354" s="8" t="n"/>
      <c r="K354" s="7" t="n"/>
    </row>
    <row r="355">
      <c r="A355" s="7" t="inlineStr">
        <is>
          <t>INV-08</t>
        </is>
      </c>
      <c r="B355" s="7" t="inlineStr">
        <is>
          <t>Views narrow the results</t>
        </is>
      </c>
      <c r="C355" s="7" t="inlineStr">
        <is>
          <t>Page tests (POM)</t>
        </is>
      </c>
      <c r="D355" s="7" t="inlineStr">
        <is>
          <t>Inventory Reports</t>
        </is>
      </c>
      <c r="E355" s="8" t="inlineStr">
        <is>
          <t>REQ-INV-04</t>
        </is>
      </c>
      <c r="F355" s="8" t="n"/>
      <c r="G355" s="7" t="inlineStr">
        <is>
          <t>Yes</t>
        </is>
      </c>
      <c r="H355" s="7" t="inlineStr">
        <is>
          <t>tests/modules/inventory-reports.spec.ts</t>
        </is>
      </c>
      <c r="I355" s="8" t="inlineStr">
        <is>
          <t>Pass</t>
        </is>
      </c>
      <c r="J355" s="8" t="n"/>
      <c r="K355" s="7" t="n"/>
    </row>
    <row r="356">
      <c r="A356" s="7" t="inlineStr">
        <is>
          <t>INV-09</t>
        </is>
      </c>
      <c r="B356" s="7" t="inlineStr">
        <is>
          <t>Reset filters</t>
        </is>
      </c>
      <c r="C356" s="7" t="inlineStr">
        <is>
          <t>Page tests (POM)</t>
        </is>
      </c>
      <c r="D356" s="7" t="inlineStr">
        <is>
          <t>Inventory Reports</t>
        </is>
      </c>
      <c r="E356" s="8" t="inlineStr">
        <is>
          <t>REQ-INV-04</t>
        </is>
      </c>
      <c r="F356" s="8" t="n"/>
      <c r="G356" s="7" t="inlineStr">
        <is>
          <t>Yes</t>
        </is>
      </c>
      <c r="H356" s="7" t="inlineStr">
        <is>
          <t>tests/modules/inventory-reports.spec.ts</t>
        </is>
      </c>
      <c r="I356" s="8" t="inlineStr">
        <is>
          <t>Pass</t>
        </is>
      </c>
      <c r="J356" s="8" t="n"/>
      <c r="K356" s="7" t="n"/>
    </row>
    <row r="357">
      <c r="A357" s="7" t="inlineStr">
        <is>
          <t>INV-10</t>
        </is>
      </c>
      <c r="B357" s="7" t="inlineStr">
        <is>
          <t>Panel exports match the tables</t>
        </is>
      </c>
      <c r="C357" s="7" t="inlineStr">
        <is>
          <t>Page tests (POM)</t>
        </is>
      </c>
      <c r="D357" s="7" t="inlineStr">
        <is>
          <t>Inventory Reports</t>
        </is>
      </c>
      <c r="E357" s="8" t="inlineStr">
        <is>
          <t>REQ-INV-05</t>
        </is>
      </c>
      <c r="F357" s="8" t="n"/>
      <c r="G357" s="7" t="inlineStr">
        <is>
          <t>Yes</t>
        </is>
      </c>
      <c r="H357" s="7" t="inlineStr">
        <is>
          <t>tests/modules/inventory-reports.spec.ts</t>
        </is>
      </c>
      <c r="I357" s="8" t="inlineStr">
        <is>
          <t>Pass</t>
        </is>
      </c>
      <c r="J357" s="8" t="n"/>
      <c r="K357" s="7" t="n"/>
    </row>
    <row r="358">
      <c r="A358" s="7" t="inlineStr">
        <is>
          <t>INV-11</t>
        </is>
      </c>
      <c r="B358" s="7" t="inlineStr">
        <is>
          <t>Tab bar and breadcrumb</t>
        </is>
      </c>
      <c r="C358" s="7" t="inlineStr">
        <is>
          <t>Page tests (POM)</t>
        </is>
      </c>
      <c r="D358" s="7" t="inlineStr">
        <is>
          <t>Inventory Reports</t>
        </is>
      </c>
      <c r="E358" s="8" t="inlineStr">
        <is>
          <t>REQ-INV-01</t>
        </is>
      </c>
      <c r="F358" s="8" t="n"/>
      <c r="G358" s="7" t="inlineStr">
        <is>
          <t>Yes</t>
        </is>
      </c>
      <c r="H358" s="7" t="inlineStr">
        <is>
          <t>tests/modules/inventory-reports.spec.ts</t>
        </is>
      </c>
      <c r="I358" s="8" t="inlineStr">
        <is>
          <t>Pass</t>
        </is>
      </c>
      <c r="J358" s="8" t="n"/>
      <c r="K358" s="7" t="n"/>
    </row>
    <row r="359">
      <c r="A359" s="7" t="inlineStr">
        <is>
          <t>INV-12</t>
        </is>
      </c>
      <c r="B359" s="7" t="inlineStr">
        <is>
          <t>Unit status totals and Sold %</t>
        </is>
      </c>
      <c r="C359" s="7" t="inlineStr">
        <is>
          <t>Page tests (POM)</t>
        </is>
      </c>
      <c r="D359" s="7" t="inlineStr">
        <is>
          <t>Inventory Reports</t>
        </is>
      </c>
      <c r="E359" s="8" t="inlineStr">
        <is>
          <t>REQ-INV-06</t>
        </is>
      </c>
      <c r="F359" s="8" t="n"/>
      <c r="G359" s="7" t="inlineStr">
        <is>
          <t>Yes</t>
        </is>
      </c>
      <c r="H359" s="7" t="inlineStr">
        <is>
          <t>tests/modules/inventory-reports.spec.ts</t>
        </is>
      </c>
      <c r="I359" s="8" t="inlineStr">
        <is>
          <t>Pass</t>
        </is>
      </c>
      <c r="J359" s="8" t="n"/>
      <c r="K359" s="7" t="n"/>
    </row>
    <row r="360">
      <c r="A360" s="7" t="inlineStr">
        <is>
          <t>INV-13</t>
        </is>
      </c>
      <c r="B360" s="7" t="inlineStr">
        <is>
          <t>Project, unit-type and bedroom tables add up to the KPIs</t>
        </is>
      </c>
      <c r="C360" s="7" t="inlineStr">
        <is>
          <t>Page tests (POM)</t>
        </is>
      </c>
      <c r="D360" s="7" t="inlineStr">
        <is>
          <t>Inventory Reports</t>
        </is>
      </c>
      <c r="E360" s="8" t="inlineStr">
        <is>
          <t>REQ-INV-06</t>
        </is>
      </c>
      <c r="F360" s="8" t="n"/>
      <c r="G360" s="7" t="inlineStr">
        <is>
          <t>Yes</t>
        </is>
      </c>
      <c r="H360" s="7" t="inlineStr">
        <is>
          <t>tests/modules/inventory-reports.spec.ts</t>
        </is>
      </c>
      <c r="I360" s="8" t="inlineStr">
        <is>
          <t>Pass</t>
        </is>
      </c>
      <c r="J360" s="8" t="n"/>
      <c r="K360" s="7" t="n"/>
    </row>
    <row r="361">
      <c r="A361" s="7" t="inlineStr">
        <is>
          <t>INV-14</t>
        </is>
      </c>
      <c r="B361" s="7" t="inlineStr">
        <is>
          <t>Available Units list</t>
        </is>
      </c>
      <c r="C361" s="7" t="inlineStr">
        <is>
          <t>Page tests (POM)</t>
        </is>
      </c>
      <c r="D361" s="7" t="inlineStr">
        <is>
          <t>Inventory Reports</t>
        </is>
      </c>
      <c r="E361" s="8" t="inlineStr">
        <is>
          <t>REQ-INV-06</t>
        </is>
      </c>
      <c r="F361" s="8" t="n"/>
      <c r="G361" s="7" t="inlineStr">
        <is>
          <t>Yes</t>
        </is>
      </c>
      <c r="H361" s="7" t="inlineStr">
        <is>
          <t>tests/modules/inventory-reports.spec.ts</t>
        </is>
      </c>
      <c r="I361" s="8" t="inlineStr">
        <is>
          <t>Pass</t>
        </is>
      </c>
      <c r="J361" s="8" t="n"/>
      <c r="K361" s="7" t="n"/>
    </row>
    <row r="362">
      <c r="A362" s="7" t="inlineStr">
        <is>
          <t>INV-15</t>
        </is>
      </c>
      <c r="B362" s="7" t="inlineStr">
        <is>
          <t>Availability Summary grouping</t>
        </is>
      </c>
      <c r="C362" s="7" t="inlineStr">
        <is>
          <t>Page tests (POM)</t>
        </is>
      </c>
      <c r="D362" s="7" t="inlineStr">
        <is>
          <t>Inventory Reports</t>
        </is>
      </c>
      <c r="E362" s="8" t="inlineStr">
        <is>
          <t>REQ-INV-06</t>
        </is>
      </c>
      <c r="F362" s="8" t="n"/>
      <c r="G362" s="7" t="inlineStr">
        <is>
          <t>Yes</t>
        </is>
      </c>
      <c r="H362" s="7" t="inlineStr">
        <is>
          <t>tests/modules/inventory-reports.spec.ts</t>
        </is>
      </c>
      <c r="I362" s="8" t="inlineStr">
        <is>
          <t>Pass</t>
        </is>
      </c>
      <c r="J362" s="8" t="inlineStr">
        <is>
          <t>DEF-09</t>
        </is>
      </c>
      <c r="K362" s="7" t="n"/>
    </row>
    <row r="363">
      <c r="A363" s="7" t="inlineStr">
        <is>
          <t>LDR-01</t>
        </is>
      </c>
      <c r="B363" s="7" t="inlineStr">
        <is>
          <t>Opens from its card on the hub</t>
        </is>
      </c>
      <c r="C363" s="7" t="inlineStr">
        <is>
          <t>Page tests (POM)</t>
        </is>
      </c>
      <c r="D363" s="7" t="inlineStr">
        <is>
          <t>Lead Reports</t>
        </is>
      </c>
      <c r="E363" s="8" t="inlineStr">
        <is>
          <t>REQ-LR-01</t>
        </is>
      </c>
      <c r="F363" s="8" t="n"/>
      <c r="G363" s="7" t="inlineStr">
        <is>
          <t>Yes</t>
        </is>
      </c>
      <c r="H363" s="7" t="inlineStr">
        <is>
          <t>tests/modules/lead-reports.spec.ts</t>
        </is>
      </c>
      <c r="I363" s="8" t="inlineStr">
        <is>
          <t>Pass</t>
        </is>
      </c>
      <c r="J363" s="8" t="n"/>
      <c r="K363" s="7" t="n"/>
    </row>
    <row r="364">
      <c r="A364" s="7" t="inlineStr">
        <is>
          <t>LDR-02</t>
        </is>
      </c>
      <c r="B364" s="7" t="inlineStr">
        <is>
          <t>Every KPI shows a valid value</t>
        </is>
      </c>
      <c r="C364" s="7" t="inlineStr">
        <is>
          <t>Page tests (POM)</t>
        </is>
      </c>
      <c r="D364" s="7" t="inlineStr">
        <is>
          <t>Lead Reports</t>
        </is>
      </c>
      <c r="E364" s="8" t="inlineStr">
        <is>
          <t>REQ-LR-07</t>
        </is>
      </c>
      <c r="F364" s="8" t="n"/>
      <c r="G364" s="7" t="inlineStr">
        <is>
          <t>Yes</t>
        </is>
      </c>
      <c r="H364" s="7" t="inlineStr">
        <is>
          <t>tests/modules/lead-reports.spec.ts</t>
        </is>
      </c>
      <c r="I364" s="8" t="inlineStr">
        <is>
          <t>Pass</t>
        </is>
      </c>
      <c r="J364" s="8" t="n"/>
      <c r="K364" s="7" t="n"/>
    </row>
    <row r="365">
      <c r="A365" s="7" t="inlineStr">
        <is>
          <t>LDR-03</t>
        </is>
      </c>
      <c r="B365" s="7" t="inlineStr">
        <is>
          <t>Page loads without errors</t>
        </is>
      </c>
      <c r="C365" s="7" t="inlineStr">
        <is>
          <t>Page tests (POM)</t>
        </is>
      </c>
      <c r="D365" s="7" t="inlineStr">
        <is>
          <t>Lead Reports</t>
        </is>
      </c>
      <c r="E365" s="8" t="inlineStr">
        <is>
          <t>REQ-LR-07</t>
        </is>
      </c>
      <c r="F365" s="8" t="n"/>
      <c r="G365" s="7" t="inlineStr">
        <is>
          <t>Yes</t>
        </is>
      </c>
      <c r="H365" s="7" t="inlineStr">
        <is>
          <t>tests/modules/lead-reports.spec.ts</t>
        </is>
      </c>
      <c r="I365" s="8" t="inlineStr">
        <is>
          <t>Pass</t>
        </is>
      </c>
      <c r="J365" s="8" t="n"/>
      <c r="K365" s="7" t="n"/>
    </row>
    <row r="366">
      <c r="A366" s="7" t="inlineStr">
        <is>
          <t>LDR-04</t>
        </is>
      </c>
      <c r="B366" s="7" t="inlineStr">
        <is>
          <t>Every period reloads the report</t>
        </is>
      </c>
      <c r="C366" s="7" t="inlineStr">
        <is>
          <t>Page tests (POM)</t>
        </is>
      </c>
      <c r="D366" s="7" t="inlineStr">
        <is>
          <t>Lead Reports</t>
        </is>
      </c>
      <c r="E366" s="8" t="inlineStr">
        <is>
          <t>REQ-LR-02</t>
        </is>
      </c>
      <c r="F366" s="8" t="n"/>
      <c r="G366" s="7" t="inlineStr">
        <is>
          <t>Yes</t>
        </is>
      </c>
      <c r="H366" s="7" t="inlineStr">
        <is>
          <t>tests/modules/lead-reports.spec.ts</t>
        </is>
      </c>
      <c r="I366" s="8" t="inlineStr">
        <is>
          <t>Pass</t>
        </is>
      </c>
      <c r="J366" s="8" t="n"/>
      <c r="K366" s="7" t="n"/>
    </row>
    <row r="367">
      <c r="A367" s="7" t="inlineStr">
        <is>
          <t>LDR-05</t>
        </is>
      </c>
      <c r="B367" s="7" t="inlineStr">
        <is>
          <t>Opens on "This month"</t>
        </is>
      </c>
      <c r="C367" s="7" t="inlineStr">
        <is>
          <t>Page tests (POM)</t>
        </is>
      </c>
      <c r="D367" s="7" t="inlineStr">
        <is>
          <t>Lead Reports</t>
        </is>
      </c>
      <c r="E367" s="8" t="inlineStr">
        <is>
          <t>REQ-LR-02</t>
        </is>
      </c>
      <c r="F367" s="8" t="n"/>
      <c r="G367" s="7" t="inlineStr">
        <is>
          <t>Yes</t>
        </is>
      </c>
      <c r="H367" s="7" t="inlineStr">
        <is>
          <t>tests/modules/lead-reports.spec.ts</t>
        </is>
      </c>
      <c r="I367" s="8" t="inlineStr">
        <is>
          <t>Fail</t>
        </is>
      </c>
      <c r="J367" s="8" t="inlineStr">
        <is>
          <t>DEF-01</t>
        </is>
      </c>
      <c r="K367" s="7" t="inlineStr">
        <is>
          <t>Error: Default period</t>
        </is>
      </c>
    </row>
    <row r="368">
      <c r="A368" s="7" t="inlineStr">
        <is>
          <t>LDR-06</t>
        </is>
      </c>
      <c r="B368" s="7" t="inlineStr">
        <is>
          <t>Custom date range</t>
        </is>
      </c>
      <c r="C368" s="7" t="inlineStr">
        <is>
          <t>Page tests (POM)</t>
        </is>
      </c>
      <c r="D368" s="7" t="inlineStr">
        <is>
          <t>Lead Reports</t>
        </is>
      </c>
      <c r="E368" s="8" t="inlineStr">
        <is>
          <t>REQ-LR-02</t>
        </is>
      </c>
      <c r="F368" s="8" t="n"/>
      <c r="G368" s="7" t="inlineStr">
        <is>
          <t>Yes</t>
        </is>
      </c>
      <c r="H368" s="7" t="inlineStr">
        <is>
          <t>tests/modules/lead-reports.spec.ts</t>
        </is>
      </c>
      <c r="I368" s="8" t="inlineStr">
        <is>
          <t>Pass</t>
        </is>
      </c>
      <c r="J368" s="8" t="n"/>
      <c r="K368" s="7" t="n"/>
    </row>
    <row r="369">
      <c r="A369" s="7" t="inlineStr">
        <is>
          <t>LDR-07</t>
        </is>
      </c>
      <c r="B369" s="7" t="inlineStr">
        <is>
          <t>Filters narrow the results</t>
        </is>
      </c>
      <c r="C369" s="7" t="inlineStr">
        <is>
          <t>Page tests (POM)</t>
        </is>
      </c>
      <c r="D369" s="7" t="inlineStr">
        <is>
          <t>Lead Reports</t>
        </is>
      </c>
      <c r="E369" s="8" t="inlineStr">
        <is>
          <t>REQ-LR-03</t>
        </is>
      </c>
      <c r="F369" s="8" t="n"/>
      <c r="G369" s="7" t="inlineStr">
        <is>
          <t>Yes</t>
        </is>
      </c>
      <c r="H369" s="7" t="inlineStr">
        <is>
          <t>tests/modules/lead-reports.spec.ts</t>
        </is>
      </c>
      <c r="I369" s="8" t="inlineStr">
        <is>
          <t>Pass</t>
        </is>
      </c>
      <c r="J369" s="8" t="n"/>
      <c r="K369" s="7" t="n"/>
    </row>
    <row r="370">
      <c r="A370" s="7" t="inlineStr">
        <is>
          <t>LDR-08</t>
        </is>
      </c>
      <c r="B370" s="7" t="inlineStr">
        <is>
          <t>Views narrow the results</t>
        </is>
      </c>
      <c r="C370" s="7" t="inlineStr">
        <is>
          <t>Page tests (POM)</t>
        </is>
      </c>
      <c r="D370" s="7" t="inlineStr">
        <is>
          <t>Lead Reports</t>
        </is>
      </c>
      <c r="E370" s="8" t="inlineStr">
        <is>
          <t>REQ-LR-06</t>
        </is>
      </c>
      <c r="F370" s="8" t="n"/>
      <c r="G370" s="7" t="inlineStr">
        <is>
          <t>Yes</t>
        </is>
      </c>
      <c r="H370" s="7" t="inlineStr">
        <is>
          <t>tests/modules/lead-reports.spec.ts</t>
        </is>
      </c>
      <c r="I370" s="8" t="inlineStr">
        <is>
          <t>Pass</t>
        </is>
      </c>
      <c r="J370" s="8" t="n"/>
      <c r="K370" s="7" t="n"/>
    </row>
    <row r="371">
      <c r="A371" s="7" t="inlineStr">
        <is>
          <t>LDR-09</t>
        </is>
      </c>
      <c r="B371" s="7" t="inlineStr">
        <is>
          <t>Reset filters</t>
        </is>
      </c>
      <c r="C371" s="7" t="inlineStr">
        <is>
          <t>Page tests (POM)</t>
        </is>
      </c>
      <c r="D371" s="7" t="inlineStr">
        <is>
          <t>Lead Reports</t>
        </is>
      </c>
      <c r="E371" s="8" t="inlineStr">
        <is>
          <t>REQ-LR-03</t>
        </is>
      </c>
      <c r="F371" s="8" t="n"/>
      <c r="G371" s="7" t="inlineStr">
        <is>
          <t>Yes</t>
        </is>
      </c>
      <c r="H371" s="7" t="inlineStr">
        <is>
          <t>tests/modules/lead-reports.spec.ts</t>
        </is>
      </c>
      <c r="I371" s="8" t="inlineStr">
        <is>
          <t>Pass</t>
        </is>
      </c>
      <c r="J371" s="8" t="n"/>
      <c r="K371" s="7" t="n"/>
    </row>
    <row r="372">
      <c r="A372" s="7" t="inlineStr">
        <is>
          <t>LDR-10</t>
        </is>
      </c>
      <c r="B372" s="7" t="inlineStr">
        <is>
          <t>Breadcrumb back to the hub</t>
        </is>
      </c>
      <c r="C372" s="7" t="inlineStr">
        <is>
          <t>Page tests (POM)</t>
        </is>
      </c>
      <c r="D372" s="7" t="inlineStr">
        <is>
          <t>Lead Reports</t>
        </is>
      </c>
      <c r="E372" s="8" t="inlineStr">
        <is>
          <t>REQ-LR-10</t>
        </is>
      </c>
      <c r="F372" s="8" t="n"/>
      <c r="G372" s="7" t="inlineStr">
        <is>
          <t>Yes</t>
        </is>
      </c>
      <c r="H372" s="7" t="inlineStr">
        <is>
          <t>tests/modules/lead-reports.spec.ts</t>
        </is>
      </c>
      <c r="I372" s="8" t="inlineStr">
        <is>
          <t>Pass</t>
        </is>
      </c>
      <c r="J372" s="8" t="n"/>
      <c r="K372" s="7" t="n"/>
    </row>
    <row r="373">
      <c r="A373" s="7" t="inlineStr">
        <is>
          <t>LDR-11</t>
        </is>
      </c>
      <c r="B373" s="7" t="inlineStr">
        <is>
          <t>Each tab shows its KPIs and panels</t>
        </is>
      </c>
      <c r="C373" s="7" t="inlineStr">
        <is>
          <t>Page tests (POM)</t>
        </is>
      </c>
      <c r="D373" s="7" t="inlineStr">
        <is>
          <t>Lead Reports</t>
        </is>
      </c>
      <c r="E373" s="8" t="inlineStr">
        <is>
          <t>REQ-LR-01</t>
        </is>
      </c>
      <c r="F373" s="8" t="n"/>
      <c r="G373" s="7" t="inlineStr">
        <is>
          <t>Yes</t>
        </is>
      </c>
      <c r="H373" s="7" t="inlineStr">
        <is>
          <t>tests/modules/lead-reports.spec.ts</t>
        </is>
      </c>
      <c r="I373" s="8" t="inlineStr">
        <is>
          <t>Pass</t>
        </is>
      </c>
      <c r="J373" s="8" t="n"/>
      <c r="K373" s="7" t="n"/>
    </row>
    <row r="374">
      <c r="A374" s="7" t="inlineStr">
        <is>
          <t>LDR-12</t>
        </is>
      </c>
      <c r="B374" s="7" t="inlineStr">
        <is>
          <t>Lead funnel steps and counts</t>
        </is>
      </c>
      <c r="C374" s="7" t="inlineStr">
        <is>
          <t>Page tests (POM)</t>
        </is>
      </c>
      <c r="D374" s="7" t="inlineStr">
        <is>
          <t>Lead Reports</t>
        </is>
      </c>
      <c r="E374" s="8" t="inlineStr">
        <is>
          <t>REQ-LR-08</t>
        </is>
      </c>
      <c r="F374" s="8" t="n"/>
      <c r="G374" s="7" t="inlineStr">
        <is>
          <t>Yes</t>
        </is>
      </c>
      <c r="H374" s="7" t="inlineStr">
        <is>
          <t>tests/modules/lead-reports.spec.ts</t>
        </is>
      </c>
      <c r="I374" s="8" t="inlineStr">
        <is>
          <t>Pass</t>
        </is>
      </c>
      <c r="J374" s="8" t="n"/>
      <c r="K374" s="7" t="n"/>
    </row>
    <row r="375">
      <c r="A375" s="7" t="inlineStr">
        <is>
          <t>LDR-13</t>
        </is>
      </c>
      <c r="B375" s="7" t="inlineStr">
        <is>
          <t>Funnel agrees with the KPI cards</t>
        </is>
      </c>
      <c r="C375" s="7" t="inlineStr">
        <is>
          <t>Page tests (POM)</t>
        </is>
      </c>
      <c r="D375" s="7" t="inlineStr">
        <is>
          <t>Lead Reports</t>
        </is>
      </c>
      <c r="E375" s="8" t="inlineStr">
        <is>
          <t>REQ-LR-08</t>
        </is>
      </c>
      <c r="F375" s="8" t="n"/>
      <c r="G375" s="7" t="inlineStr">
        <is>
          <t>Yes</t>
        </is>
      </c>
      <c r="H375" s="7" t="inlineStr">
        <is>
          <t>tests/modules/lead-reports.spec.ts</t>
        </is>
      </c>
      <c r="I375" s="8" t="inlineStr">
        <is>
          <t>Pass</t>
        </is>
      </c>
      <c r="J375" s="8" t="n"/>
      <c r="K375" s="7" t="n"/>
    </row>
    <row r="376">
      <c r="A376" s="7" t="inlineStr">
        <is>
          <t>LDR-14</t>
        </is>
      </c>
      <c r="B376" s="7" t="inlineStr">
        <is>
          <t>12-month trend</t>
        </is>
      </c>
      <c r="C376" s="7" t="inlineStr">
        <is>
          <t>Page tests (POM)</t>
        </is>
      </c>
      <c r="D376" s="7" t="inlineStr">
        <is>
          <t>Lead Reports</t>
        </is>
      </c>
      <c r="E376" s="8" t="inlineStr">
        <is>
          <t>REQ-LR-08</t>
        </is>
      </c>
      <c r="F376" s="8" t="n"/>
      <c r="G376" s="7" t="inlineStr">
        <is>
          <t>Yes</t>
        </is>
      </c>
      <c r="H376" s="7" t="inlineStr">
        <is>
          <t>tests/modules/lead-reports.spec.ts</t>
        </is>
      </c>
      <c r="I376" s="8" t="inlineStr">
        <is>
          <t>Pass</t>
        </is>
      </c>
      <c r="J376" s="8" t="n"/>
      <c r="K376" s="7" t="n"/>
    </row>
    <row r="377">
      <c r="A377" s="7" t="inlineStr">
        <is>
          <t>LDR-15</t>
        </is>
      </c>
      <c r="B377" s="7" t="inlineStr">
        <is>
          <t>Data Completeness</t>
        </is>
      </c>
      <c r="C377" s="7" t="inlineStr">
        <is>
          <t>Page tests (POM)</t>
        </is>
      </c>
      <c r="D377" s="7" t="inlineStr">
        <is>
          <t>Lead Reports</t>
        </is>
      </c>
      <c r="E377" s="8" t="inlineStr">
        <is>
          <t>REQ-LR-08</t>
        </is>
      </c>
      <c r="F377" s="8" t="n"/>
      <c r="G377" s="7" t="inlineStr">
        <is>
          <t>Yes</t>
        </is>
      </c>
      <c r="H377" s="7" t="inlineStr">
        <is>
          <t>tests/modules/lead-reports.spec.ts</t>
        </is>
      </c>
      <c r="I377" s="8" t="inlineStr">
        <is>
          <t>Pass</t>
        </is>
      </c>
      <c r="J377" s="8" t="n"/>
      <c r="K377" s="7" t="n"/>
    </row>
    <row r="378">
      <c r="A378" s="7" t="inlineStr">
        <is>
          <t>LDR-16</t>
        </is>
      </c>
      <c r="B378" s="7" t="inlineStr">
        <is>
          <t>Funnel with no data</t>
        </is>
      </c>
      <c r="C378" s="7" t="inlineStr">
        <is>
          <t>Page tests (POM)</t>
        </is>
      </c>
      <c r="D378" s="7" t="inlineStr">
        <is>
          <t>Lead Reports</t>
        </is>
      </c>
      <c r="E378" s="8" t="inlineStr">
        <is>
          <t>REQ-LR-08</t>
        </is>
      </c>
      <c r="F378" s="8" t="n"/>
      <c r="G378" s="7" t="inlineStr">
        <is>
          <t>Yes</t>
        </is>
      </c>
      <c r="H378" s="7" t="inlineStr">
        <is>
          <t>tests/modules/lead-reports.spec.ts</t>
        </is>
      </c>
      <c r="I378" s="8" t="inlineStr">
        <is>
          <t>Pass</t>
        </is>
      </c>
      <c r="J378" s="8" t="n"/>
      <c r="K378" s="7" t="n"/>
    </row>
    <row r="379">
      <c r="A379" s="7" t="inlineStr">
        <is>
          <t>MKT-01</t>
        </is>
      </c>
      <c r="B379" s="7" t="inlineStr">
        <is>
          <t>Opens from its card on the hub</t>
        </is>
      </c>
      <c r="C379" s="7" t="inlineStr">
        <is>
          <t>Page tests (POM)</t>
        </is>
      </c>
      <c r="D379" s="7" t="inlineStr">
        <is>
          <t>Marketing Reports</t>
        </is>
      </c>
      <c r="E379" s="8" t="inlineStr">
        <is>
          <t>REQ-MKT-01</t>
        </is>
      </c>
      <c r="F379" s="8" t="n"/>
      <c r="G379" s="7" t="inlineStr">
        <is>
          <t>Yes</t>
        </is>
      </c>
      <c r="H379" s="7" t="inlineStr">
        <is>
          <t>tests/modules/marketing-reports.spec.ts</t>
        </is>
      </c>
      <c r="I379" s="8" t="inlineStr">
        <is>
          <t>Pass</t>
        </is>
      </c>
      <c r="J379" s="8" t="n"/>
      <c r="K379" s="7" t="n"/>
    </row>
    <row r="380">
      <c r="A380" s="7" t="inlineStr">
        <is>
          <t>MKT-02</t>
        </is>
      </c>
      <c r="B380" s="7" t="inlineStr">
        <is>
          <t>Every KPI shows a valid value</t>
        </is>
      </c>
      <c r="C380" s="7" t="inlineStr">
        <is>
          <t>Page tests (POM)</t>
        </is>
      </c>
      <c r="D380" s="7" t="inlineStr">
        <is>
          <t>Marketing Reports</t>
        </is>
      </c>
      <c r="E380" s="8" t="inlineStr">
        <is>
          <t>REQ-MKT-02</t>
        </is>
      </c>
      <c r="F380" s="8" t="n"/>
      <c r="G380" s="7" t="inlineStr">
        <is>
          <t>Yes</t>
        </is>
      </c>
      <c r="H380" s="7" t="inlineStr">
        <is>
          <t>tests/modules/marketing-reports.spec.ts</t>
        </is>
      </c>
      <c r="I380" s="8" t="inlineStr">
        <is>
          <t>Pass</t>
        </is>
      </c>
      <c r="J380" s="8" t="n"/>
      <c r="K380" s="7" t="n"/>
    </row>
    <row r="381">
      <c r="A381" s="7" t="inlineStr">
        <is>
          <t>MKT-03</t>
        </is>
      </c>
      <c r="B381" s="7" t="inlineStr">
        <is>
          <t>Every table renders without errors</t>
        </is>
      </c>
      <c r="C381" s="7" t="inlineStr">
        <is>
          <t>Page tests (POM)</t>
        </is>
      </c>
      <c r="D381" s="7" t="inlineStr">
        <is>
          <t>Marketing Reports</t>
        </is>
      </c>
      <c r="E381" s="8" t="inlineStr">
        <is>
          <t>REQ-MKT-02</t>
        </is>
      </c>
      <c r="F381" s="8" t="n"/>
      <c r="G381" s="7" t="inlineStr">
        <is>
          <t>Yes</t>
        </is>
      </c>
      <c r="H381" s="7" t="inlineStr">
        <is>
          <t>tests/modules/marketing-reports.spec.ts</t>
        </is>
      </c>
      <c r="I381" s="8" t="inlineStr">
        <is>
          <t>Pass</t>
        </is>
      </c>
      <c r="J381" s="8" t="n"/>
      <c r="K381" s="7" t="n"/>
    </row>
    <row r="382">
      <c r="A382" s="7" t="inlineStr">
        <is>
          <t>MKT-04</t>
        </is>
      </c>
      <c r="B382" s="7" t="inlineStr">
        <is>
          <t>Every period reloads the report</t>
        </is>
      </c>
      <c r="C382" s="7" t="inlineStr">
        <is>
          <t>Page tests (POM)</t>
        </is>
      </c>
      <c r="D382" s="7" t="inlineStr">
        <is>
          <t>Marketing Reports</t>
        </is>
      </c>
      <c r="E382" s="8" t="inlineStr">
        <is>
          <t>REQ-MKT-03</t>
        </is>
      </c>
      <c r="F382" s="8" t="n"/>
      <c r="G382" s="7" t="inlineStr">
        <is>
          <t>Yes</t>
        </is>
      </c>
      <c r="H382" s="7" t="inlineStr">
        <is>
          <t>tests/modules/marketing-reports.spec.ts</t>
        </is>
      </c>
      <c r="I382" s="8" t="inlineStr">
        <is>
          <t>Pass</t>
        </is>
      </c>
      <c r="J382" s="8" t="n"/>
      <c r="K382" s="7" t="n"/>
    </row>
    <row r="383">
      <c r="A383" s="7" t="inlineStr">
        <is>
          <t>MKT-05</t>
        </is>
      </c>
      <c r="B383" s="7" t="inlineStr">
        <is>
          <t>Opens on "This month"</t>
        </is>
      </c>
      <c r="C383" s="7" t="inlineStr">
        <is>
          <t>Page tests (POM)</t>
        </is>
      </c>
      <c r="D383" s="7" t="inlineStr">
        <is>
          <t>Marketing Reports</t>
        </is>
      </c>
      <c r="E383" s="8" t="inlineStr">
        <is>
          <t>REQ-MKT-03</t>
        </is>
      </c>
      <c r="F383" s="8" t="n"/>
      <c r="G383" s="7" t="inlineStr">
        <is>
          <t>Yes</t>
        </is>
      </c>
      <c r="H383" s="7" t="inlineStr">
        <is>
          <t>tests/modules/marketing-reports.spec.ts</t>
        </is>
      </c>
      <c r="I383" s="8" t="inlineStr">
        <is>
          <t>Fail</t>
        </is>
      </c>
      <c r="J383" s="8" t="inlineStr">
        <is>
          <t>DEF-01</t>
        </is>
      </c>
      <c r="K383" s="7" t="inlineStr">
        <is>
          <t>Error: Default period</t>
        </is>
      </c>
    </row>
    <row r="384">
      <c r="A384" s="7" t="inlineStr">
        <is>
          <t>MKT-06</t>
        </is>
      </c>
      <c r="B384" s="7" t="inlineStr">
        <is>
          <t>Custom date range</t>
        </is>
      </c>
      <c r="C384" s="7" t="inlineStr">
        <is>
          <t>Page tests (POM)</t>
        </is>
      </c>
      <c r="D384" s="7" t="inlineStr">
        <is>
          <t>Marketing Reports</t>
        </is>
      </c>
      <c r="E384" s="8" t="inlineStr">
        <is>
          <t>REQ-MKT-03</t>
        </is>
      </c>
      <c r="F384" s="8" t="n"/>
      <c r="G384" s="7" t="inlineStr">
        <is>
          <t>Yes</t>
        </is>
      </c>
      <c r="H384" s="7" t="inlineStr">
        <is>
          <t>tests/modules/marketing-reports.spec.ts</t>
        </is>
      </c>
      <c r="I384" s="8" t="inlineStr">
        <is>
          <t>Pass</t>
        </is>
      </c>
      <c r="J384" s="8" t="n"/>
      <c r="K384" s="7" t="n"/>
    </row>
    <row r="385">
      <c r="A385" s="7" t="inlineStr">
        <is>
          <t>MKT-07</t>
        </is>
      </c>
      <c r="B385" s="7" t="inlineStr">
        <is>
          <t>Filters narrow the results</t>
        </is>
      </c>
      <c r="C385" s="7" t="inlineStr">
        <is>
          <t>Page tests (POM)</t>
        </is>
      </c>
      <c r="D385" s="7" t="inlineStr">
        <is>
          <t>Marketing Reports</t>
        </is>
      </c>
      <c r="E385" s="8" t="inlineStr">
        <is>
          <t>REQ-MKT-04</t>
        </is>
      </c>
      <c r="F385" s="8" t="n"/>
      <c r="G385" s="7" t="inlineStr">
        <is>
          <t>Yes</t>
        </is>
      </c>
      <c r="H385" s="7" t="inlineStr">
        <is>
          <t>tests/modules/marketing-reports.spec.ts</t>
        </is>
      </c>
      <c r="I385" s="8" t="inlineStr">
        <is>
          <t>Pass</t>
        </is>
      </c>
      <c r="J385" s="8" t="n"/>
      <c r="K385" s="7" t="n"/>
    </row>
    <row r="386">
      <c r="A386" s="7" t="inlineStr">
        <is>
          <t>MKT-08</t>
        </is>
      </c>
      <c r="B386" s="7" t="inlineStr">
        <is>
          <t>Views narrow the results</t>
        </is>
      </c>
      <c r="C386" s="7" t="inlineStr">
        <is>
          <t>Page tests (POM)</t>
        </is>
      </c>
      <c r="D386" s="7" t="inlineStr">
        <is>
          <t>Marketing Reports</t>
        </is>
      </c>
      <c r="E386" s="8" t="inlineStr">
        <is>
          <t>REQ-MKT-04</t>
        </is>
      </c>
      <c r="F386" s="8" t="n"/>
      <c r="G386" s="7" t="inlineStr">
        <is>
          <t>Yes</t>
        </is>
      </c>
      <c r="H386" s="7" t="inlineStr">
        <is>
          <t>tests/modules/marketing-reports.spec.ts</t>
        </is>
      </c>
      <c r="I386" s="8" t="inlineStr">
        <is>
          <t>Pass</t>
        </is>
      </c>
      <c r="J386" s="8" t="n"/>
      <c r="K386" s="7" t="n"/>
    </row>
    <row r="387">
      <c r="A387" s="7" t="inlineStr">
        <is>
          <t>MKT-09</t>
        </is>
      </c>
      <c r="B387" s="7" t="inlineStr">
        <is>
          <t>Reset filters</t>
        </is>
      </c>
      <c r="C387" s="7" t="inlineStr">
        <is>
          <t>Page tests (POM)</t>
        </is>
      </c>
      <c r="D387" s="7" t="inlineStr">
        <is>
          <t>Marketing Reports</t>
        </is>
      </c>
      <c r="E387" s="8" t="inlineStr">
        <is>
          <t>REQ-MKT-04</t>
        </is>
      </c>
      <c r="F387" s="8" t="n"/>
      <c r="G387" s="7" t="inlineStr">
        <is>
          <t>Yes</t>
        </is>
      </c>
      <c r="H387" s="7" t="inlineStr">
        <is>
          <t>tests/modules/marketing-reports.spec.ts</t>
        </is>
      </c>
      <c r="I387" s="8" t="inlineStr">
        <is>
          <t>Pass</t>
        </is>
      </c>
      <c r="J387" s="8" t="n"/>
      <c r="K387" s="7" t="n"/>
    </row>
    <row r="388">
      <c r="A388" s="7" t="inlineStr">
        <is>
          <t>MKT-10</t>
        </is>
      </c>
      <c r="B388" s="7" t="inlineStr">
        <is>
          <t>Panel exports match the tables</t>
        </is>
      </c>
      <c r="C388" s="7" t="inlineStr">
        <is>
          <t>Page tests (POM)</t>
        </is>
      </c>
      <c r="D388" s="7" t="inlineStr">
        <is>
          <t>Marketing Reports</t>
        </is>
      </c>
      <c r="E388" s="8" t="inlineStr">
        <is>
          <t>REQ-MKT-05</t>
        </is>
      </c>
      <c r="F388" s="8" t="n"/>
      <c r="G388" s="7" t="inlineStr">
        <is>
          <t>Yes</t>
        </is>
      </c>
      <c r="H388" s="7" t="inlineStr">
        <is>
          <t>tests/modules/marketing-reports.spec.ts</t>
        </is>
      </c>
      <c r="I388" s="8" t="inlineStr">
        <is>
          <t>Pass</t>
        </is>
      </c>
      <c r="J388" s="8" t="n"/>
      <c r="K388" s="7" t="n"/>
    </row>
    <row r="389">
      <c r="A389" s="7" t="inlineStr">
        <is>
          <t>MKT-11</t>
        </is>
      </c>
      <c r="B389" s="7" t="inlineStr">
        <is>
          <t>Tab bar and breadcrumb</t>
        </is>
      </c>
      <c r="C389" s="7" t="inlineStr">
        <is>
          <t>Page tests (POM)</t>
        </is>
      </c>
      <c r="D389" s="7" t="inlineStr">
        <is>
          <t>Marketing Reports</t>
        </is>
      </c>
      <c r="E389" s="8" t="inlineStr">
        <is>
          <t>REQ-MKT-01</t>
        </is>
      </c>
      <c r="F389" s="8" t="n"/>
      <c r="G389" s="7" t="inlineStr">
        <is>
          <t>Yes</t>
        </is>
      </c>
      <c r="H389" s="7" t="inlineStr">
        <is>
          <t>tests/modules/marketing-reports.spec.ts</t>
        </is>
      </c>
      <c r="I389" s="8" t="inlineStr">
        <is>
          <t>Pass</t>
        </is>
      </c>
      <c r="J389" s="8" t="n"/>
      <c r="K389" s="7" t="n"/>
    </row>
    <row r="390">
      <c r="A390" s="7" t="inlineStr">
        <is>
          <t>MKT-12</t>
        </is>
      </c>
      <c r="B390" s="7" t="inlineStr">
        <is>
          <t>Campaign and channel tables add up to the KPIs</t>
        </is>
      </c>
      <c r="C390" s="7" t="inlineStr">
        <is>
          <t>Page tests (POM)</t>
        </is>
      </c>
      <c r="D390" s="7" t="inlineStr">
        <is>
          <t>Marketing Reports</t>
        </is>
      </c>
      <c r="E390" s="8" t="inlineStr">
        <is>
          <t>REQ-MKT-06</t>
        </is>
      </c>
      <c r="F390" s="8" t="n"/>
      <c r="G390" s="7" t="inlineStr">
        <is>
          <t>Yes</t>
        </is>
      </c>
      <c r="H390" s="7" t="inlineStr">
        <is>
          <t>tests/modules/marketing-reports.spec.ts</t>
        </is>
      </c>
      <c r="I390" s="8" t="inlineStr">
        <is>
          <t>Pass</t>
        </is>
      </c>
      <c r="J390" s="8" t="n"/>
      <c r="K390" s="7" t="n"/>
    </row>
    <row r="391">
      <c r="A391" s="7" t="inlineStr">
        <is>
          <t>MKT-13</t>
        </is>
      </c>
      <c r="B391" s="7" t="inlineStr">
        <is>
          <t>Cost per lead and ROI</t>
        </is>
      </c>
      <c r="C391" s="7" t="inlineStr">
        <is>
          <t>Page tests (POM)</t>
        </is>
      </c>
      <c r="D391" s="7" t="inlineStr">
        <is>
          <t>Marketing Reports</t>
        </is>
      </c>
      <c r="E391" s="8" t="inlineStr">
        <is>
          <t>REQ-MKT-06</t>
        </is>
      </c>
      <c r="F391" s="8" t="n"/>
      <c r="G391" s="7" t="inlineStr">
        <is>
          <t>Yes</t>
        </is>
      </c>
      <c r="H391" s="7" t="inlineStr">
        <is>
          <t>tests/modules/marketing-reports.spec.ts</t>
        </is>
      </c>
      <c r="I391" s="8" t="inlineStr">
        <is>
          <t>Pass</t>
        </is>
      </c>
      <c r="J391" s="8" t="n"/>
      <c r="K391" s="7" t="n"/>
    </row>
    <row r="392">
      <c r="A392" s="7" t="inlineStr">
        <is>
          <t>HUB-01</t>
        </is>
      </c>
      <c r="B392" s="7" t="inlineStr">
        <is>
          <t>Executive snapshot shows 8 valid values</t>
        </is>
      </c>
      <c r="C392" s="7" t="inlineStr">
        <is>
          <t>Page tests (POM)</t>
        </is>
      </c>
      <c r="D392" s="7" t="inlineStr">
        <is>
          <t>Reports &amp; Analytics hub</t>
        </is>
      </c>
      <c r="E392" s="8" t="inlineStr">
        <is>
          <t>REQ-HUB-01</t>
        </is>
      </c>
      <c r="F392" s="8" t="n"/>
      <c r="G392" s="7" t="inlineStr">
        <is>
          <t>Yes</t>
        </is>
      </c>
      <c r="H392" s="7" t="inlineStr">
        <is>
          <t>tests/modules/reports-hub.spec.ts</t>
        </is>
      </c>
      <c r="I392" s="8" t="inlineStr">
        <is>
          <t>Pass</t>
        </is>
      </c>
      <c r="J392" s="8" t="n"/>
      <c r="K392" s="7" t="n"/>
    </row>
    <row r="393">
      <c r="A393" s="7" t="inlineStr">
        <is>
          <t>HUB-02</t>
        </is>
      </c>
      <c r="B393" s="7" t="inlineStr">
        <is>
          <t>Snapshot values come from the API</t>
        </is>
      </c>
      <c r="C393" s="7" t="inlineStr">
        <is>
          <t>Page tests (POM)</t>
        </is>
      </c>
      <c r="D393" s="7" t="inlineStr">
        <is>
          <t>Reports &amp; Analytics hub</t>
        </is>
      </c>
      <c r="E393" s="8" t="inlineStr">
        <is>
          <t>REQ-HUB-01</t>
        </is>
      </c>
      <c r="F393" s="8" t="n"/>
      <c r="G393" s="7" t="inlineStr">
        <is>
          <t>Yes</t>
        </is>
      </c>
      <c r="H393" s="7" t="inlineStr">
        <is>
          <t>tests/modules/reports-hub.spec.ts</t>
        </is>
      </c>
      <c r="I393" s="8" t="inlineStr">
        <is>
          <t>Pass</t>
        </is>
      </c>
      <c r="J393" s="8" t="n"/>
      <c r="K393" s="7" t="n"/>
    </row>
    <row r="394">
      <c r="A394" s="7" t="inlineStr">
        <is>
          <t>HUB-03</t>
        </is>
      </c>
      <c r="B394" s="7" t="inlineStr">
        <is>
          <t>Snapshot values are stable after reload</t>
        </is>
      </c>
      <c r="C394" s="7" t="inlineStr">
        <is>
          <t>Page tests (POM)</t>
        </is>
      </c>
      <c r="D394" s="7" t="inlineStr">
        <is>
          <t>Reports &amp; Analytics hub</t>
        </is>
      </c>
      <c r="E394" s="8" t="inlineStr">
        <is>
          <t>REQ-HUB-01</t>
        </is>
      </c>
      <c r="F394" s="8" t="n"/>
      <c r="G394" s="7" t="inlineStr">
        <is>
          <t>Yes</t>
        </is>
      </c>
      <c r="H394" s="7" t="inlineStr">
        <is>
          <t>tests/modules/reports-hub.spec.ts</t>
        </is>
      </c>
      <c r="I394" s="8" t="inlineStr">
        <is>
          <t>Pass</t>
        </is>
      </c>
      <c r="J394" s="8" t="n"/>
      <c r="K394" s="7" t="n"/>
    </row>
    <row r="395">
      <c r="A395" s="7" t="inlineStr">
        <is>
          <t>HUB-04</t>
        </is>
      </c>
      <c r="B395" s="7" t="inlineStr">
        <is>
          <t>Module menu shows the 11 cards</t>
        </is>
      </c>
      <c r="C395" s="7" t="inlineStr">
        <is>
          <t>Page tests (POM)</t>
        </is>
      </c>
      <c r="D395" s="7" t="inlineStr">
        <is>
          <t>Reports &amp; Analytics hub</t>
        </is>
      </c>
      <c r="E395" s="8" t="inlineStr">
        <is>
          <t>REQ-HUB-02</t>
        </is>
      </c>
      <c r="F395" s="8" t="n"/>
      <c r="G395" s="7" t="inlineStr">
        <is>
          <t>Yes</t>
        </is>
      </c>
      <c r="H395" s="7" t="inlineStr">
        <is>
          <t>tests/modules/reports-hub.spec.ts</t>
        </is>
      </c>
      <c r="I395" s="8" t="inlineStr">
        <is>
          <t>Pass</t>
        </is>
      </c>
      <c r="J395" s="8" t="n"/>
      <c r="K395" s="7" t="n"/>
    </row>
    <row r="396">
      <c r="A396" s="7" t="inlineStr">
        <is>
          <t>HUB-05</t>
        </is>
      </c>
      <c r="B396" s="7" t="inlineStr">
        <is>
          <t>"N live" summary matches the cards</t>
        </is>
      </c>
      <c r="C396" s="7" t="inlineStr">
        <is>
          <t>Page tests (POM)</t>
        </is>
      </c>
      <c r="D396" s="7" t="inlineStr">
        <is>
          <t>Reports &amp; Analytics hub</t>
        </is>
      </c>
      <c r="E396" s="8" t="inlineStr">
        <is>
          <t>REQ-HUB-02</t>
        </is>
      </c>
      <c r="F396" s="8" t="n"/>
      <c r="G396" s="7" t="inlineStr">
        <is>
          <t>Yes</t>
        </is>
      </c>
      <c r="H396" s="7" t="inlineStr">
        <is>
          <t>tests/modules/reports-hub.spec.ts</t>
        </is>
      </c>
      <c r="I396" s="8" t="inlineStr">
        <is>
          <t>Pass</t>
        </is>
      </c>
      <c r="J396" s="8" t="n"/>
      <c r="K396" s="7" t="n"/>
    </row>
    <row r="397">
      <c r="A397" s="7" t="inlineStr">
        <is>
          <t>HUB-06</t>
        </is>
      </c>
      <c r="B397" s="7" t="inlineStr">
        <is>
          <t>Hub loads without errors</t>
        </is>
      </c>
      <c r="C397" s="7" t="inlineStr">
        <is>
          <t>Page tests (POM)</t>
        </is>
      </c>
      <c r="D397" s="7" t="inlineStr">
        <is>
          <t>Reports &amp; Analytics hub</t>
        </is>
      </c>
      <c r="E397" s="8" t="inlineStr">
        <is>
          <t>REQ-HUB-03</t>
        </is>
      </c>
      <c r="F397" s="8" t="n"/>
      <c r="G397" s="7" t="inlineStr">
        <is>
          <t>Yes</t>
        </is>
      </c>
      <c r="H397" s="7" t="inlineStr">
        <is>
          <t>tests/modules/reports-hub.spec.ts</t>
        </is>
      </c>
      <c r="I397" s="8" t="inlineStr">
        <is>
          <t>Pass</t>
        </is>
      </c>
      <c r="J397" s="8" t="n"/>
      <c r="K397" s="7" t="n"/>
    </row>
    <row r="398">
      <c r="A398" s="7" t="inlineStr">
        <is>
          <t>RES-01</t>
        </is>
      </c>
      <c r="B398" s="7" t="inlineStr">
        <is>
          <t>Opens from its card on the hub</t>
        </is>
      </c>
      <c r="C398" s="7" t="inlineStr">
        <is>
          <t>Page tests (POM)</t>
        </is>
      </c>
      <c r="D398" s="7" t="inlineStr">
        <is>
          <t>Reservation Reports</t>
        </is>
      </c>
      <c r="E398" s="8" t="inlineStr">
        <is>
          <t>REQ-RES-01</t>
        </is>
      </c>
      <c r="F398" s="8" t="n"/>
      <c r="G398" s="7" t="inlineStr">
        <is>
          <t>Yes</t>
        </is>
      </c>
      <c r="H398" s="7" t="inlineStr">
        <is>
          <t>tests/modules/reservation-reports.spec.ts</t>
        </is>
      </c>
      <c r="I398" s="8" t="inlineStr">
        <is>
          <t>Pass</t>
        </is>
      </c>
      <c r="J398" s="8" t="n"/>
      <c r="K398" s="7" t="n"/>
    </row>
    <row r="399">
      <c r="A399" s="7" t="inlineStr">
        <is>
          <t>RES-02</t>
        </is>
      </c>
      <c r="B399" s="7" t="inlineStr">
        <is>
          <t>Every KPI shows a valid value</t>
        </is>
      </c>
      <c r="C399" s="7" t="inlineStr">
        <is>
          <t>Page tests (POM)</t>
        </is>
      </c>
      <c r="D399" s="7" t="inlineStr">
        <is>
          <t>Reservation Reports</t>
        </is>
      </c>
      <c r="E399" s="8" t="inlineStr">
        <is>
          <t>REQ-RES-02</t>
        </is>
      </c>
      <c r="F399" s="8" t="n"/>
      <c r="G399" s="7" t="inlineStr">
        <is>
          <t>Yes</t>
        </is>
      </c>
      <c r="H399" s="7" t="inlineStr">
        <is>
          <t>tests/modules/reservation-reports.spec.ts</t>
        </is>
      </c>
      <c r="I399" s="8" t="inlineStr">
        <is>
          <t>Pass</t>
        </is>
      </c>
      <c r="J399" s="8" t="n"/>
      <c r="K399" s="7" t="n"/>
    </row>
    <row r="400">
      <c r="A400" s="7" t="inlineStr">
        <is>
          <t>RES-03</t>
        </is>
      </c>
      <c r="B400" s="7" t="inlineStr">
        <is>
          <t>Every table renders without errors</t>
        </is>
      </c>
      <c r="C400" s="7" t="inlineStr">
        <is>
          <t>Page tests (POM)</t>
        </is>
      </c>
      <c r="D400" s="7" t="inlineStr">
        <is>
          <t>Reservation Reports</t>
        </is>
      </c>
      <c r="E400" s="8" t="inlineStr">
        <is>
          <t>REQ-RES-02</t>
        </is>
      </c>
      <c r="F400" s="8" t="n"/>
      <c r="G400" s="7" t="inlineStr">
        <is>
          <t>Yes</t>
        </is>
      </c>
      <c r="H400" s="7" t="inlineStr">
        <is>
          <t>tests/modules/reservation-reports.spec.ts</t>
        </is>
      </c>
      <c r="I400" s="8" t="inlineStr">
        <is>
          <t>Pass</t>
        </is>
      </c>
      <c r="J400" s="8" t="n"/>
      <c r="K400" s="7" t="n"/>
    </row>
    <row r="401">
      <c r="A401" s="7" t="inlineStr">
        <is>
          <t>RES-04</t>
        </is>
      </c>
      <c r="B401" s="7" t="inlineStr">
        <is>
          <t>Every period reloads the report</t>
        </is>
      </c>
      <c r="C401" s="7" t="inlineStr">
        <is>
          <t>Page tests (POM)</t>
        </is>
      </c>
      <c r="D401" s="7" t="inlineStr">
        <is>
          <t>Reservation Reports</t>
        </is>
      </c>
      <c r="E401" s="8" t="inlineStr">
        <is>
          <t>REQ-RES-03</t>
        </is>
      </c>
      <c r="F401" s="8" t="n"/>
      <c r="G401" s="7" t="inlineStr">
        <is>
          <t>Yes</t>
        </is>
      </c>
      <c r="H401" s="7" t="inlineStr">
        <is>
          <t>tests/modules/reservation-reports.spec.ts</t>
        </is>
      </c>
      <c r="I401" s="8" t="inlineStr">
        <is>
          <t>Pass</t>
        </is>
      </c>
      <c r="J401" s="8" t="n"/>
      <c r="K401" s="7" t="n"/>
    </row>
    <row r="402">
      <c r="A402" s="7" t="inlineStr">
        <is>
          <t>RES-05</t>
        </is>
      </c>
      <c r="B402" s="7" t="inlineStr">
        <is>
          <t>Opens on "This month"</t>
        </is>
      </c>
      <c r="C402" s="7" t="inlineStr">
        <is>
          <t>Page tests (POM)</t>
        </is>
      </c>
      <c r="D402" s="7" t="inlineStr">
        <is>
          <t>Reservation Reports</t>
        </is>
      </c>
      <c r="E402" s="8" t="inlineStr">
        <is>
          <t>REQ-RES-03</t>
        </is>
      </c>
      <c r="F402" s="8" t="n"/>
      <c r="G402" s="7" t="inlineStr">
        <is>
          <t>Yes</t>
        </is>
      </c>
      <c r="H402" s="7" t="inlineStr">
        <is>
          <t>tests/modules/reservation-reports.spec.ts</t>
        </is>
      </c>
      <c r="I402" s="8" t="inlineStr">
        <is>
          <t>Fail</t>
        </is>
      </c>
      <c r="J402" s="8" t="inlineStr">
        <is>
          <t>DEF-01</t>
        </is>
      </c>
      <c r="K402" s="7" t="inlineStr">
        <is>
          <t>Error: Default period</t>
        </is>
      </c>
    </row>
    <row r="403">
      <c r="A403" s="7" t="inlineStr">
        <is>
          <t>RES-06</t>
        </is>
      </c>
      <c r="B403" s="7" t="inlineStr">
        <is>
          <t>Custom date range</t>
        </is>
      </c>
      <c r="C403" s="7" t="inlineStr">
        <is>
          <t>Page tests (POM)</t>
        </is>
      </c>
      <c r="D403" s="7" t="inlineStr">
        <is>
          <t>Reservation Reports</t>
        </is>
      </c>
      <c r="E403" s="8" t="inlineStr">
        <is>
          <t>REQ-RES-03</t>
        </is>
      </c>
      <c r="F403" s="8" t="n"/>
      <c r="G403" s="7" t="inlineStr">
        <is>
          <t>Yes</t>
        </is>
      </c>
      <c r="H403" s="7" t="inlineStr">
        <is>
          <t>tests/modules/reservation-reports.spec.ts</t>
        </is>
      </c>
      <c r="I403" s="8" t="inlineStr">
        <is>
          <t>Pass</t>
        </is>
      </c>
      <c r="J403" s="8" t="n"/>
      <c r="K403" s="7" t="n"/>
    </row>
    <row r="404">
      <c r="A404" s="7" t="inlineStr">
        <is>
          <t>RES-07</t>
        </is>
      </c>
      <c r="B404" s="7" t="inlineStr">
        <is>
          <t>Filters narrow the results</t>
        </is>
      </c>
      <c r="C404" s="7" t="inlineStr">
        <is>
          <t>Page tests (POM)</t>
        </is>
      </c>
      <c r="D404" s="7" t="inlineStr">
        <is>
          <t>Reservation Reports</t>
        </is>
      </c>
      <c r="E404" s="8" t="inlineStr">
        <is>
          <t>REQ-RES-04</t>
        </is>
      </c>
      <c r="F404" s="8" t="n"/>
      <c r="G404" s="7" t="inlineStr">
        <is>
          <t>Yes</t>
        </is>
      </c>
      <c r="H404" s="7" t="inlineStr">
        <is>
          <t>tests/modules/reservation-reports.spec.ts</t>
        </is>
      </c>
      <c r="I404" s="8" t="inlineStr">
        <is>
          <t>Pass</t>
        </is>
      </c>
      <c r="J404" s="8" t="n"/>
      <c r="K404" s="7" t="n"/>
    </row>
    <row r="405">
      <c r="A405" s="7" t="inlineStr">
        <is>
          <t>RES-08</t>
        </is>
      </c>
      <c r="B405" s="7" t="inlineStr">
        <is>
          <t>Views narrow the results</t>
        </is>
      </c>
      <c r="C405" s="7" t="inlineStr">
        <is>
          <t>Page tests (POM)</t>
        </is>
      </c>
      <c r="D405" s="7" t="inlineStr">
        <is>
          <t>Reservation Reports</t>
        </is>
      </c>
      <c r="E405" s="8" t="inlineStr">
        <is>
          <t>REQ-RES-04</t>
        </is>
      </c>
      <c r="F405" s="8" t="n"/>
      <c r="G405" s="7" t="inlineStr">
        <is>
          <t>Yes</t>
        </is>
      </c>
      <c r="H405" s="7" t="inlineStr">
        <is>
          <t>tests/modules/reservation-reports.spec.ts</t>
        </is>
      </c>
      <c r="I405" s="8" t="inlineStr">
        <is>
          <t>Pass</t>
        </is>
      </c>
      <c r="J405" s="8" t="n"/>
      <c r="K405" s="7" t="n"/>
    </row>
    <row r="406">
      <c r="A406" s="7" t="inlineStr">
        <is>
          <t>RES-09</t>
        </is>
      </c>
      <c r="B406" s="7" t="inlineStr">
        <is>
          <t>Reset filters</t>
        </is>
      </c>
      <c r="C406" s="7" t="inlineStr">
        <is>
          <t>Page tests (POM)</t>
        </is>
      </c>
      <c r="D406" s="7" t="inlineStr">
        <is>
          <t>Reservation Reports</t>
        </is>
      </c>
      <c r="E406" s="8" t="inlineStr">
        <is>
          <t>REQ-RES-04</t>
        </is>
      </c>
      <c r="F406" s="8" t="n"/>
      <c r="G406" s="7" t="inlineStr">
        <is>
          <t>Yes</t>
        </is>
      </c>
      <c r="H406" s="7" t="inlineStr">
        <is>
          <t>tests/modules/reservation-reports.spec.ts</t>
        </is>
      </c>
      <c r="I406" s="8" t="inlineStr">
        <is>
          <t>Pass</t>
        </is>
      </c>
      <c r="J406" s="8" t="n"/>
      <c r="K406" s="7" t="n"/>
    </row>
    <row r="407">
      <c r="A407" s="7" t="inlineStr">
        <is>
          <t>RES-10</t>
        </is>
      </c>
      <c r="B407" s="7" t="inlineStr">
        <is>
          <t>Panel exports match the tables</t>
        </is>
      </c>
      <c r="C407" s="7" t="inlineStr">
        <is>
          <t>Page tests (POM)</t>
        </is>
      </c>
      <c r="D407" s="7" t="inlineStr">
        <is>
          <t>Reservation Reports</t>
        </is>
      </c>
      <c r="E407" s="8" t="inlineStr">
        <is>
          <t>REQ-RES-05</t>
        </is>
      </c>
      <c r="F407" s="8" t="n"/>
      <c r="G407" s="7" t="inlineStr">
        <is>
          <t>Yes</t>
        </is>
      </c>
      <c r="H407" s="7" t="inlineStr">
        <is>
          <t>tests/modules/reservation-reports.spec.ts</t>
        </is>
      </c>
      <c r="I407" s="8" t="inlineStr">
        <is>
          <t>Pass</t>
        </is>
      </c>
      <c r="J407" s="8" t="n"/>
      <c r="K407" s="7" t="n"/>
    </row>
    <row r="408">
      <c r="A408" s="7" t="inlineStr">
        <is>
          <t>RES-11</t>
        </is>
      </c>
      <c r="B408" s="7" t="inlineStr">
        <is>
          <t>Tab bar and breadcrumb</t>
        </is>
      </c>
      <c r="C408" s="7" t="inlineStr">
        <is>
          <t>Page tests (POM)</t>
        </is>
      </c>
      <c r="D408" s="7" t="inlineStr">
        <is>
          <t>Reservation Reports</t>
        </is>
      </c>
      <c r="E408" s="8" t="inlineStr">
        <is>
          <t>REQ-RES-01</t>
        </is>
      </c>
      <c r="F408" s="8" t="n"/>
      <c r="G408" s="7" t="inlineStr">
        <is>
          <t>Yes</t>
        </is>
      </c>
      <c r="H408" s="7" t="inlineStr">
        <is>
          <t>tests/modules/reservation-reports.spec.ts</t>
        </is>
      </c>
      <c r="I408" s="8" t="inlineStr">
        <is>
          <t>Pass</t>
        </is>
      </c>
      <c r="J408" s="8" t="n"/>
      <c r="K408" s="7" t="n"/>
    </row>
    <row r="409">
      <c r="A409" s="7" t="inlineStr">
        <is>
          <t>RES-12</t>
        </is>
      </c>
      <c r="B409" s="7" t="inlineStr">
        <is>
          <t>Month, project and salesperson tables add up to the KPIs</t>
        </is>
      </c>
      <c r="C409" s="7" t="inlineStr">
        <is>
          <t>Page tests (POM)</t>
        </is>
      </c>
      <c r="D409" s="7" t="inlineStr">
        <is>
          <t>Reservation Reports</t>
        </is>
      </c>
      <c r="E409" s="8" t="inlineStr">
        <is>
          <t>REQ-RES-06</t>
        </is>
      </c>
      <c r="F409" s="8" t="n"/>
      <c r="G409" s="7" t="inlineStr">
        <is>
          <t>Yes</t>
        </is>
      </c>
      <c r="H409" s="7" t="inlineStr">
        <is>
          <t>tests/modules/reservation-reports.spec.ts</t>
        </is>
      </c>
      <c r="I409" s="8" t="inlineStr">
        <is>
          <t>Pass</t>
        </is>
      </c>
      <c r="J409" s="8" t="n"/>
      <c r="K409" s="7" t="n"/>
    </row>
    <row r="410">
      <c r="A410" s="7" t="inlineStr">
        <is>
          <t>RES-13</t>
        </is>
      </c>
      <c r="B410" s="7" t="inlineStr">
        <is>
          <t>Conversion rate</t>
        </is>
      </c>
      <c r="C410" s="7" t="inlineStr">
        <is>
          <t>Page tests (POM)</t>
        </is>
      </c>
      <c r="D410" s="7" t="inlineStr">
        <is>
          <t>Reservation Reports</t>
        </is>
      </c>
      <c r="E410" s="8" t="inlineStr">
        <is>
          <t>REQ-RES-06</t>
        </is>
      </c>
      <c r="F410" s="8" t="n"/>
      <c r="G410" s="7" t="inlineStr">
        <is>
          <t>Yes</t>
        </is>
      </c>
      <c r="H410" s="7" t="inlineStr">
        <is>
          <t>tests/modules/reservation-reports.spec.ts</t>
        </is>
      </c>
      <c r="I410" s="8" t="inlineStr">
        <is>
          <t>Pass</t>
        </is>
      </c>
      <c r="J410" s="8" t="n"/>
      <c r="K410" s="7" t="n"/>
    </row>
    <row r="411">
      <c r="A411" s="7" t="inlineStr">
        <is>
          <t>RES-14</t>
        </is>
      </c>
      <c r="B411" s="7" t="inlineStr">
        <is>
          <t>Active Reservations list matches the expiry KPIs</t>
        </is>
      </c>
      <c r="C411" s="7" t="inlineStr">
        <is>
          <t>Page tests (POM)</t>
        </is>
      </c>
      <c r="D411" s="7" t="inlineStr">
        <is>
          <t>Reservation Reports</t>
        </is>
      </c>
      <c r="E411" s="8" t="inlineStr">
        <is>
          <t>REQ-RES-06</t>
        </is>
      </c>
      <c r="F411" s="8" t="n"/>
      <c r="G411" s="7" t="inlineStr">
        <is>
          <t>Yes</t>
        </is>
      </c>
      <c r="H411" s="7" t="inlineStr">
        <is>
          <t>tests/modules/reservation-reports.spec.ts</t>
        </is>
      </c>
      <c r="I411" s="8" t="inlineStr">
        <is>
          <t>Pass</t>
        </is>
      </c>
      <c r="J411" s="8" t="n"/>
      <c r="K411" s="7" t="n"/>
    </row>
    <row r="412">
      <c r="A412" s="7" t="inlineStr">
        <is>
          <t>SAL-01</t>
        </is>
      </c>
      <c r="B412" s="7" t="inlineStr">
        <is>
          <t>Opens from its card on the hub</t>
        </is>
      </c>
      <c r="C412" s="7" t="inlineStr">
        <is>
          <t>Page tests (POM)</t>
        </is>
      </c>
      <c r="D412" s="7" t="inlineStr">
        <is>
          <t>Sales Reports</t>
        </is>
      </c>
      <c r="E412" s="8" t="inlineStr">
        <is>
          <t>REQ-SAL-01</t>
        </is>
      </c>
      <c r="F412" s="8" t="n"/>
      <c r="G412" s="7" t="inlineStr">
        <is>
          <t>Yes</t>
        </is>
      </c>
      <c r="H412" s="7" t="inlineStr">
        <is>
          <t>tests/modules/sales-reports.spec.ts</t>
        </is>
      </c>
      <c r="I412" s="8" t="inlineStr">
        <is>
          <t>Pass</t>
        </is>
      </c>
      <c r="J412" s="8" t="n"/>
      <c r="K412" s="7" t="n"/>
    </row>
    <row r="413">
      <c r="A413" s="7" t="inlineStr">
        <is>
          <t>SAL-02</t>
        </is>
      </c>
      <c r="B413" s="7" t="inlineStr">
        <is>
          <t>Every KPI shows a valid value</t>
        </is>
      </c>
      <c r="C413" s="7" t="inlineStr">
        <is>
          <t>Page tests (POM)</t>
        </is>
      </c>
      <c r="D413" s="7" t="inlineStr">
        <is>
          <t>Sales Reports</t>
        </is>
      </c>
      <c r="E413" s="8" t="inlineStr">
        <is>
          <t>REQ-SAL-02</t>
        </is>
      </c>
      <c r="F413" s="8" t="n"/>
      <c r="G413" s="7" t="inlineStr">
        <is>
          <t>Yes</t>
        </is>
      </c>
      <c r="H413" s="7" t="inlineStr">
        <is>
          <t>tests/modules/sales-reports.spec.ts</t>
        </is>
      </c>
      <c r="I413" s="8" t="inlineStr">
        <is>
          <t>Pass</t>
        </is>
      </c>
      <c r="J413" s="8" t="n"/>
      <c r="K413" s="7" t="n"/>
    </row>
    <row r="414">
      <c r="A414" s="7" t="inlineStr">
        <is>
          <t>SAL-03</t>
        </is>
      </c>
      <c r="B414" s="7" t="inlineStr">
        <is>
          <t>Every table renders without errors</t>
        </is>
      </c>
      <c r="C414" s="7" t="inlineStr">
        <is>
          <t>Page tests (POM)</t>
        </is>
      </c>
      <c r="D414" s="7" t="inlineStr">
        <is>
          <t>Sales Reports</t>
        </is>
      </c>
      <c r="E414" s="8" t="inlineStr">
        <is>
          <t>REQ-SAL-02</t>
        </is>
      </c>
      <c r="F414" s="8" t="n"/>
      <c r="G414" s="7" t="inlineStr">
        <is>
          <t>Yes</t>
        </is>
      </c>
      <c r="H414" s="7" t="inlineStr">
        <is>
          <t>tests/modules/sales-reports.spec.ts</t>
        </is>
      </c>
      <c r="I414" s="8" t="inlineStr">
        <is>
          <t>Pass</t>
        </is>
      </c>
      <c r="J414" s="8" t="n"/>
      <c r="K414" s="7" t="n"/>
    </row>
    <row r="415">
      <c r="A415" s="7" t="inlineStr">
        <is>
          <t>SAL-04</t>
        </is>
      </c>
      <c r="B415" s="7" t="inlineStr">
        <is>
          <t>Every period reloads the report</t>
        </is>
      </c>
      <c r="C415" s="7" t="inlineStr">
        <is>
          <t>Page tests (POM)</t>
        </is>
      </c>
      <c r="D415" s="7" t="inlineStr">
        <is>
          <t>Sales Reports</t>
        </is>
      </c>
      <c r="E415" s="8" t="inlineStr">
        <is>
          <t>REQ-SAL-03</t>
        </is>
      </c>
      <c r="F415" s="8" t="n"/>
      <c r="G415" s="7" t="inlineStr">
        <is>
          <t>Yes</t>
        </is>
      </c>
      <c r="H415" s="7" t="inlineStr">
        <is>
          <t>tests/modules/sales-reports.spec.ts</t>
        </is>
      </c>
      <c r="I415" s="8" t="inlineStr">
        <is>
          <t>Pass</t>
        </is>
      </c>
      <c r="J415" s="8" t="n"/>
      <c r="K415" s="7" t="n"/>
    </row>
    <row r="416">
      <c r="A416" s="7" t="inlineStr">
        <is>
          <t>SAL-05</t>
        </is>
      </c>
      <c r="B416" s="7" t="inlineStr">
        <is>
          <t>Opens on "This month"</t>
        </is>
      </c>
      <c r="C416" s="7" t="inlineStr">
        <is>
          <t>Page tests (POM)</t>
        </is>
      </c>
      <c r="D416" s="7" t="inlineStr">
        <is>
          <t>Sales Reports</t>
        </is>
      </c>
      <c r="E416" s="8" t="inlineStr">
        <is>
          <t>REQ-SAL-03</t>
        </is>
      </c>
      <c r="F416" s="8" t="n"/>
      <c r="G416" s="7" t="inlineStr">
        <is>
          <t>Yes</t>
        </is>
      </c>
      <c r="H416" s="7" t="inlineStr">
        <is>
          <t>tests/modules/sales-reports.spec.ts</t>
        </is>
      </c>
      <c r="I416" s="8" t="inlineStr">
        <is>
          <t>Fail</t>
        </is>
      </c>
      <c r="J416" s="8" t="inlineStr">
        <is>
          <t>DEF-01</t>
        </is>
      </c>
      <c r="K416" s="7" t="inlineStr">
        <is>
          <t>Error: Default period</t>
        </is>
      </c>
    </row>
    <row r="417">
      <c r="A417" s="7" t="inlineStr">
        <is>
          <t>SAL-06</t>
        </is>
      </c>
      <c r="B417" s="7" t="inlineStr">
        <is>
          <t>Custom date range</t>
        </is>
      </c>
      <c r="C417" s="7" t="inlineStr">
        <is>
          <t>Page tests (POM)</t>
        </is>
      </c>
      <c r="D417" s="7" t="inlineStr">
        <is>
          <t>Sales Reports</t>
        </is>
      </c>
      <c r="E417" s="8" t="inlineStr">
        <is>
          <t>REQ-SAL-03</t>
        </is>
      </c>
      <c r="F417" s="8" t="n"/>
      <c r="G417" s="7" t="inlineStr">
        <is>
          <t>Yes</t>
        </is>
      </c>
      <c r="H417" s="7" t="inlineStr">
        <is>
          <t>tests/modules/sales-reports.spec.ts</t>
        </is>
      </c>
      <c r="I417" s="8" t="inlineStr">
        <is>
          <t>Pass</t>
        </is>
      </c>
      <c r="J417" s="8" t="n"/>
      <c r="K417" s="7" t="n"/>
    </row>
    <row r="418">
      <c r="A418" s="7" t="inlineStr">
        <is>
          <t>SAL-07</t>
        </is>
      </c>
      <c r="B418" s="7" t="inlineStr">
        <is>
          <t>Filters narrow the results</t>
        </is>
      </c>
      <c r="C418" s="7" t="inlineStr">
        <is>
          <t>Page tests (POM)</t>
        </is>
      </c>
      <c r="D418" s="7" t="inlineStr">
        <is>
          <t>Sales Reports</t>
        </is>
      </c>
      <c r="E418" s="8" t="inlineStr">
        <is>
          <t>REQ-SAL-04</t>
        </is>
      </c>
      <c r="F418" s="8" t="n"/>
      <c r="G418" s="7" t="inlineStr">
        <is>
          <t>Yes</t>
        </is>
      </c>
      <c r="H418" s="7" t="inlineStr">
        <is>
          <t>tests/modules/sales-reports.spec.ts</t>
        </is>
      </c>
      <c r="I418" s="8" t="inlineStr">
        <is>
          <t>Pass</t>
        </is>
      </c>
      <c r="J418" s="8" t="n"/>
      <c r="K418" s="7" t="n"/>
    </row>
    <row r="419">
      <c r="A419" s="7" t="inlineStr">
        <is>
          <t>SAL-08</t>
        </is>
      </c>
      <c r="B419" s="7" t="inlineStr">
        <is>
          <t>Views narrow the results</t>
        </is>
      </c>
      <c r="C419" s="7" t="inlineStr">
        <is>
          <t>Page tests (POM)</t>
        </is>
      </c>
      <c r="D419" s="7" t="inlineStr">
        <is>
          <t>Sales Reports</t>
        </is>
      </c>
      <c r="E419" s="8" t="inlineStr">
        <is>
          <t>REQ-SAL-04</t>
        </is>
      </c>
      <c r="F419" s="8" t="n"/>
      <c r="G419" s="7" t="inlineStr">
        <is>
          <t>Yes</t>
        </is>
      </c>
      <c r="H419" s="7" t="inlineStr">
        <is>
          <t>tests/modules/sales-reports.spec.ts</t>
        </is>
      </c>
      <c r="I419" s="8" t="inlineStr">
        <is>
          <t>Pass</t>
        </is>
      </c>
      <c r="J419" s="8" t="n"/>
      <c r="K419" s="7" t="n"/>
    </row>
    <row r="420">
      <c r="A420" s="7" t="inlineStr">
        <is>
          <t>SAL-09</t>
        </is>
      </c>
      <c r="B420" s="7" t="inlineStr">
        <is>
          <t>Reset filters</t>
        </is>
      </c>
      <c r="C420" s="7" t="inlineStr">
        <is>
          <t>Page tests (POM)</t>
        </is>
      </c>
      <c r="D420" s="7" t="inlineStr">
        <is>
          <t>Sales Reports</t>
        </is>
      </c>
      <c r="E420" s="8" t="inlineStr">
        <is>
          <t>REQ-SAL-04</t>
        </is>
      </c>
      <c r="F420" s="8" t="n"/>
      <c r="G420" s="7" t="inlineStr">
        <is>
          <t>Yes</t>
        </is>
      </c>
      <c r="H420" s="7" t="inlineStr">
        <is>
          <t>tests/modules/sales-reports.spec.ts</t>
        </is>
      </c>
      <c r="I420" s="8" t="inlineStr">
        <is>
          <t>Pass</t>
        </is>
      </c>
      <c r="J420" s="8" t="n"/>
      <c r="K420" s="7" t="n"/>
    </row>
    <row r="421">
      <c r="A421" s="7" t="inlineStr">
        <is>
          <t>SAL-10</t>
        </is>
      </c>
      <c r="B421" s="7" t="inlineStr">
        <is>
          <t>Panel exports match the tables</t>
        </is>
      </c>
      <c r="C421" s="7" t="inlineStr">
        <is>
          <t>Page tests (POM)</t>
        </is>
      </c>
      <c r="D421" s="7" t="inlineStr">
        <is>
          <t>Sales Reports</t>
        </is>
      </c>
      <c r="E421" s="8" t="inlineStr">
        <is>
          <t>REQ-SAL-05</t>
        </is>
      </c>
      <c r="F421" s="8" t="n"/>
      <c r="G421" s="7" t="inlineStr">
        <is>
          <t>Yes</t>
        </is>
      </c>
      <c r="H421" s="7" t="inlineStr">
        <is>
          <t>tests/modules/sales-reports.spec.ts</t>
        </is>
      </c>
      <c r="I421" s="8" t="inlineStr">
        <is>
          <t>Pass</t>
        </is>
      </c>
      <c r="J421" s="8" t="n"/>
      <c r="K421" s="7" t="n"/>
    </row>
    <row r="422">
      <c r="A422" s="7" t="inlineStr">
        <is>
          <t>SAL-11</t>
        </is>
      </c>
      <c r="B422" s="7" t="inlineStr">
        <is>
          <t>Tab bar and breadcrumb</t>
        </is>
      </c>
      <c r="C422" s="7" t="inlineStr">
        <is>
          <t>Page tests (POM)</t>
        </is>
      </c>
      <c r="D422" s="7" t="inlineStr">
        <is>
          <t>Sales Reports</t>
        </is>
      </c>
      <c r="E422" s="8" t="inlineStr">
        <is>
          <t>REQ-SAL-01</t>
        </is>
      </c>
      <c r="F422" s="8" t="n"/>
      <c r="G422" s="7" t="inlineStr">
        <is>
          <t>Yes</t>
        </is>
      </c>
      <c r="H422" s="7" t="inlineStr">
        <is>
          <t>tests/modules/sales-reports.spec.ts</t>
        </is>
      </c>
      <c r="I422" s="8" t="inlineStr">
        <is>
          <t>Pass</t>
        </is>
      </c>
      <c r="J422" s="8" t="n"/>
      <c r="K422" s="7" t="n"/>
    </row>
    <row r="423">
      <c r="A423" s="7" t="inlineStr">
        <is>
          <t>SAL-12</t>
        </is>
      </c>
      <c r="B423" s="7" t="inlineStr">
        <is>
          <t>Open Pipeline by Stage adds up to the KPIs</t>
        </is>
      </c>
      <c r="C423" s="7" t="inlineStr">
        <is>
          <t>Page tests (POM)</t>
        </is>
      </c>
      <c r="D423" s="7" t="inlineStr">
        <is>
          <t>Sales Reports</t>
        </is>
      </c>
      <c r="E423" s="8" t="inlineStr">
        <is>
          <t>REQ-SAL-06</t>
        </is>
      </c>
      <c r="F423" s="8" t="n"/>
      <c r="G423" s="7" t="inlineStr">
        <is>
          <t>Yes</t>
        </is>
      </c>
      <c r="H423" s="7" t="inlineStr">
        <is>
          <t>tests/modules/sales-reports.spec.ts</t>
        </is>
      </c>
      <c r="I423" s="8" t="inlineStr">
        <is>
          <t>Pass</t>
        </is>
      </c>
      <c r="J423" s="8" t="n"/>
      <c r="K423" s="7" t="n"/>
    </row>
    <row r="424">
      <c r="A424" s="7" t="inlineStr">
        <is>
          <t>SAL-13</t>
        </is>
      </c>
      <c r="B424" s="7" t="inlineStr">
        <is>
          <t>Salesperson Pipeline adds up and Win rate is correct</t>
        </is>
      </c>
      <c r="C424" s="7" t="inlineStr">
        <is>
          <t>Page tests (POM)</t>
        </is>
      </c>
      <c r="D424" s="7" t="inlineStr">
        <is>
          <t>Sales Reports</t>
        </is>
      </c>
      <c r="E424" s="8" t="inlineStr">
        <is>
          <t>REQ-SAL-06</t>
        </is>
      </c>
      <c r="F424" s="8" t="n"/>
      <c r="G424" s="7" t="inlineStr">
        <is>
          <t>Yes</t>
        </is>
      </c>
      <c r="H424" s="7" t="inlineStr">
        <is>
          <t>tests/modules/sales-reports.spec.ts</t>
        </is>
      </c>
      <c r="I424" s="8" t="inlineStr">
        <is>
          <t>Pass</t>
        </is>
      </c>
      <c r="J424" s="8" t="n"/>
      <c r="K424" s="7" t="n"/>
    </row>
    <row r="425">
      <c r="A425" s="7" t="inlineStr">
        <is>
          <t>SAL-14</t>
        </is>
      </c>
      <c r="B425" s="7" t="inlineStr">
        <is>
          <t>Open Opportunities list</t>
        </is>
      </c>
      <c r="C425" s="7" t="inlineStr">
        <is>
          <t>Page tests (POM)</t>
        </is>
      </c>
      <c r="D425" s="7" t="inlineStr">
        <is>
          <t>Sales Reports</t>
        </is>
      </c>
      <c r="E425" s="8" t="inlineStr">
        <is>
          <t>REQ-SAL-06</t>
        </is>
      </c>
      <c r="F425" s="8" t="n"/>
      <c r="G425" s="7" t="inlineStr">
        <is>
          <t>Yes</t>
        </is>
      </c>
      <c r="H425" s="7" t="inlineStr">
        <is>
          <t>tests/modules/sales-reports.spec.ts</t>
        </is>
      </c>
      <c r="I425" s="8" t="inlineStr">
        <is>
          <t>Pass</t>
        </is>
      </c>
      <c r="J425" s="8" t="n"/>
      <c r="K425" s="7" t="n"/>
    </row>
    <row r="426">
      <c r="A426" s="7" t="inlineStr">
        <is>
          <t>SAL-15</t>
        </is>
      </c>
      <c r="B426" s="7" t="inlineStr">
        <is>
          <t>Stage export has the right totals</t>
        </is>
      </c>
      <c r="C426" s="7" t="inlineStr">
        <is>
          <t>Page tests (POM)</t>
        </is>
      </c>
      <c r="D426" s="7" t="inlineStr">
        <is>
          <t>Sales Reports</t>
        </is>
      </c>
      <c r="E426" s="8" t="inlineStr">
        <is>
          <t>REQ-SAL-06</t>
        </is>
      </c>
      <c r="F426" s="8" t="n"/>
      <c r="G426" s="7" t="inlineStr">
        <is>
          <t>Yes</t>
        </is>
      </c>
      <c r="H426" s="7" t="inlineStr">
        <is>
          <t>tests/modules/sales-reports.spec.ts</t>
        </is>
      </c>
      <c r="I426" s="8" t="inlineStr">
        <is>
          <t>Pass</t>
        </is>
      </c>
      <c r="J426" s="8" t="n"/>
      <c r="K426" s="7" t="n"/>
    </row>
    <row r="427">
      <c r="A427" s="7" t="inlineStr">
        <is>
          <t>SAL-16</t>
        </is>
      </c>
      <c r="B427" s="7" t="inlineStr">
        <is>
          <t>An opportunity opens from the list</t>
        </is>
      </c>
      <c r="C427" s="7" t="inlineStr">
        <is>
          <t>Page tests (POM)</t>
        </is>
      </c>
      <c r="D427" s="7" t="inlineStr">
        <is>
          <t>Sales Reports</t>
        </is>
      </c>
      <c r="E427" s="8" t="inlineStr">
        <is>
          <t>REQ-SAL-06</t>
        </is>
      </c>
      <c r="F427" s="8" t="n"/>
      <c r="G427" s="7" t="inlineStr">
        <is>
          <t>Yes</t>
        </is>
      </c>
      <c r="H427" s="7" t="inlineStr">
        <is>
          <t>tests/modules/sales-reports.spec.ts</t>
        </is>
      </c>
      <c r="I427" s="8" t="inlineStr">
        <is>
          <t>Pass</t>
        </is>
      </c>
      <c r="J427" s="8" t="n"/>
      <c r="K427" s="7" t="n"/>
    </row>
    <row r="428">
      <c r="A428" s="7" t="inlineStr">
        <is>
          <t>SPA-01</t>
        </is>
      </c>
      <c r="B428" s="7" t="inlineStr">
        <is>
          <t>Opens from its card on the hub</t>
        </is>
      </c>
      <c r="C428" s="7" t="inlineStr">
        <is>
          <t>Page tests (POM)</t>
        </is>
      </c>
      <c r="D428" s="7" t="inlineStr">
        <is>
          <t>SPA Reports</t>
        </is>
      </c>
      <c r="E428" s="8" t="inlineStr">
        <is>
          <t>REQ-SPA-01</t>
        </is>
      </c>
      <c r="F428" s="8" t="n"/>
      <c r="G428" s="7" t="inlineStr">
        <is>
          <t>Yes</t>
        </is>
      </c>
      <c r="H428" s="7" t="inlineStr">
        <is>
          <t>tests/modules/spa-reports.spec.ts</t>
        </is>
      </c>
      <c r="I428" s="8" t="inlineStr">
        <is>
          <t>Pass</t>
        </is>
      </c>
      <c r="J428" s="8" t="n"/>
      <c r="K428" s="7" t="n"/>
    </row>
    <row r="429">
      <c r="A429" s="7" t="inlineStr">
        <is>
          <t>SPA-02</t>
        </is>
      </c>
      <c r="B429" s="7" t="inlineStr">
        <is>
          <t>Every KPI shows a valid value</t>
        </is>
      </c>
      <c r="C429" s="7" t="inlineStr">
        <is>
          <t>Page tests (POM)</t>
        </is>
      </c>
      <c r="D429" s="7" t="inlineStr">
        <is>
          <t>SPA Reports</t>
        </is>
      </c>
      <c r="E429" s="8" t="inlineStr">
        <is>
          <t>REQ-SPA-02</t>
        </is>
      </c>
      <c r="F429" s="8" t="n"/>
      <c r="G429" s="7" t="inlineStr">
        <is>
          <t>Yes</t>
        </is>
      </c>
      <c r="H429" s="7" t="inlineStr">
        <is>
          <t>tests/modules/spa-reports.spec.ts</t>
        </is>
      </c>
      <c r="I429" s="8" t="inlineStr">
        <is>
          <t>Pass</t>
        </is>
      </c>
      <c r="J429" s="8" t="n"/>
      <c r="K429" s="7" t="n"/>
    </row>
    <row r="430">
      <c r="A430" s="7" t="inlineStr">
        <is>
          <t>SPA-03</t>
        </is>
      </c>
      <c r="B430" s="7" t="inlineStr">
        <is>
          <t>Every table renders without errors</t>
        </is>
      </c>
      <c r="C430" s="7" t="inlineStr">
        <is>
          <t>Page tests (POM)</t>
        </is>
      </c>
      <c r="D430" s="7" t="inlineStr">
        <is>
          <t>SPA Reports</t>
        </is>
      </c>
      <c r="E430" s="8" t="inlineStr">
        <is>
          <t>REQ-SPA-02</t>
        </is>
      </c>
      <c r="F430" s="8" t="n"/>
      <c r="G430" s="7" t="inlineStr">
        <is>
          <t>Yes</t>
        </is>
      </c>
      <c r="H430" s="7" t="inlineStr">
        <is>
          <t>tests/modules/spa-reports.spec.ts</t>
        </is>
      </c>
      <c r="I430" s="8" t="inlineStr">
        <is>
          <t>Pass</t>
        </is>
      </c>
      <c r="J430" s="8" t="n"/>
      <c r="K430" s="7" t="n"/>
    </row>
    <row r="431">
      <c r="A431" s="7" t="inlineStr">
        <is>
          <t>SPA-04</t>
        </is>
      </c>
      <c r="B431" s="7" t="inlineStr">
        <is>
          <t>Every period reloads the report</t>
        </is>
      </c>
      <c r="C431" s="7" t="inlineStr">
        <is>
          <t>Page tests (POM)</t>
        </is>
      </c>
      <c r="D431" s="7" t="inlineStr">
        <is>
          <t>SPA Reports</t>
        </is>
      </c>
      <c r="E431" s="8" t="inlineStr">
        <is>
          <t>REQ-SPA-03</t>
        </is>
      </c>
      <c r="F431" s="8" t="n"/>
      <c r="G431" s="7" t="inlineStr">
        <is>
          <t>Yes</t>
        </is>
      </c>
      <c r="H431" s="7" t="inlineStr">
        <is>
          <t>tests/modules/spa-reports.spec.ts</t>
        </is>
      </c>
      <c r="I431" s="8" t="inlineStr">
        <is>
          <t>Pass</t>
        </is>
      </c>
      <c r="J431" s="8" t="n"/>
      <c r="K431" s="7" t="n"/>
    </row>
    <row r="432">
      <c r="A432" s="7" t="inlineStr">
        <is>
          <t>SPA-05</t>
        </is>
      </c>
      <c r="B432" s="7" t="inlineStr">
        <is>
          <t>Opens on "This month"</t>
        </is>
      </c>
      <c r="C432" s="7" t="inlineStr">
        <is>
          <t>Page tests (POM)</t>
        </is>
      </c>
      <c r="D432" s="7" t="inlineStr">
        <is>
          <t>SPA Reports</t>
        </is>
      </c>
      <c r="E432" s="8" t="inlineStr">
        <is>
          <t>REQ-SPA-03</t>
        </is>
      </c>
      <c r="F432" s="8" t="n"/>
      <c r="G432" s="7" t="inlineStr">
        <is>
          <t>Yes</t>
        </is>
      </c>
      <c r="H432" s="7" t="inlineStr">
        <is>
          <t>tests/modules/spa-reports.spec.ts</t>
        </is>
      </c>
      <c r="I432" s="8" t="inlineStr">
        <is>
          <t>Fail</t>
        </is>
      </c>
      <c r="J432" s="8" t="inlineStr">
        <is>
          <t>DEF-01</t>
        </is>
      </c>
      <c r="K432" s="7" t="inlineStr">
        <is>
          <t>Error: Default period</t>
        </is>
      </c>
    </row>
    <row r="433">
      <c r="A433" s="7" t="inlineStr">
        <is>
          <t>SPA-06</t>
        </is>
      </c>
      <c r="B433" s="7" t="inlineStr">
        <is>
          <t>Custom date range</t>
        </is>
      </c>
      <c r="C433" s="7" t="inlineStr">
        <is>
          <t>Page tests (POM)</t>
        </is>
      </c>
      <c r="D433" s="7" t="inlineStr">
        <is>
          <t>SPA Reports</t>
        </is>
      </c>
      <c r="E433" s="8" t="inlineStr">
        <is>
          <t>REQ-SPA-03</t>
        </is>
      </c>
      <c r="F433" s="8" t="n"/>
      <c r="G433" s="7" t="inlineStr">
        <is>
          <t>Yes</t>
        </is>
      </c>
      <c r="H433" s="7" t="inlineStr">
        <is>
          <t>tests/modules/spa-reports.spec.ts</t>
        </is>
      </c>
      <c r="I433" s="8" t="inlineStr">
        <is>
          <t>Pass</t>
        </is>
      </c>
      <c r="J433" s="8" t="n"/>
      <c r="K433" s="7" t="n"/>
    </row>
    <row r="434">
      <c r="A434" s="7" t="inlineStr">
        <is>
          <t>SPA-07</t>
        </is>
      </c>
      <c r="B434" s="7" t="inlineStr">
        <is>
          <t>Filters narrow the results</t>
        </is>
      </c>
      <c r="C434" s="7" t="inlineStr">
        <is>
          <t>Page tests (POM)</t>
        </is>
      </c>
      <c r="D434" s="7" t="inlineStr">
        <is>
          <t>SPA Reports</t>
        </is>
      </c>
      <c r="E434" s="8" t="inlineStr">
        <is>
          <t>REQ-SPA-04</t>
        </is>
      </c>
      <c r="F434" s="8" t="n"/>
      <c r="G434" s="7" t="inlineStr">
        <is>
          <t>Yes</t>
        </is>
      </c>
      <c r="H434" s="7" t="inlineStr">
        <is>
          <t>tests/modules/spa-reports.spec.ts</t>
        </is>
      </c>
      <c r="I434" s="8" t="inlineStr">
        <is>
          <t>Pass</t>
        </is>
      </c>
      <c r="J434" s="8" t="n"/>
      <c r="K434" s="7" t="n"/>
    </row>
    <row r="435">
      <c r="A435" s="7" t="inlineStr">
        <is>
          <t>SPA-08</t>
        </is>
      </c>
      <c r="B435" s="7" t="inlineStr">
        <is>
          <t>Views narrow the results</t>
        </is>
      </c>
      <c r="C435" s="7" t="inlineStr">
        <is>
          <t>Page tests (POM)</t>
        </is>
      </c>
      <c r="D435" s="7" t="inlineStr">
        <is>
          <t>SPA Reports</t>
        </is>
      </c>
      <c r="E435" s="8" t="inlineStr">
        <is>
          <t>REQ-SPA-04</t>
        </is>
      </c>
      <c r="F435" s="8" t="n"/>
      <c r="G435" s="7" t="inlineStr">
        <is>
          <t>Yes</t>
        </is>
      </c>
      <c r="H435" s="7" t="inlineStr">
        <is>
          <t>tests/modules/spa-reports.spec.ts</t>
        </is>
      </c>
      <c r="I435" s="8" t="inlineStr">
        <is>
          <t>Pass</t>
        </is>
      </c>
      <c r="J435" s="8" t="n"/>
      <c r="K435" s="7" t="n"/>
    </row>
    <row r="436">
      <c r="A436" s="7" t="inlineStr">
        <is>
          <t>SPA-09</t>
        </is>
      </c>
      <c r="B436" s="7" t="inlineStr">
        <is>
          <t>Reset filters</t>
        </is>
      </c>
      <c r="C436" s="7" t="inlineStr">
        <is>
          <t>Page tests (POM)</t>
        </is>
      </c>
      <c r="D436" s="7" t="inlineStr">
        <is>
          <t>SPA Reports</t>
        </is>
      </c>
      <c r="E436" s="8" t="inlineStr">
        <is>
          <t>REQ-SPA-04</t>
        </is>
      </c>
      <c r="F436" s="8" t="n"/>
      <c r="G436" s="7" t="inlineStr">
        <is>
          <t>Yes</t>
        </is>
      </c>
      <c r="H436" s="7" t="inlineStr">
        <is>
          <t>tests/modules/spa-reports.spec.ts</t>
        </is>
      </c>
      <c r="I436" s="8" t="inlineStr">
        <is>
          <t>Pass</t>
        </is>
      </c>
      <c r="J436" s="8" t="n"/>
      <c r="K436" s="7" t="n"/>
    </row>
    <row r="437">
      <c r="A437" s="7" t="inlineStr">
        <is>
          <t>SPA-10</t>
        </is>
      </c>
      <c r="B437" s="7" t="inlineStr">
        <is>
          <t>Panel exports match the tables</t>
        </is>
      </c>
      <c r="C437" s="7" t="inlineStr">
        <is>
          <t>Page tests (POM)</t>
        </is>
      </c>
      <c r="D437" s="7" t="inlineStr">
        <is>
          <t>SPA Reports</t>
        </is>
      </c>
      <c r="E437" s="8" t="inlineStr">
        <is>
          <t>REQ-SPA-05</t>
        </is>
      </c>
      <c r="F437" s="8" t="n"/>
      <c r="G437" s="7" t="inlineStr">
        <is>
          <t>Yes</t>
        </is>
      </c>
      <c r="H437" s="7" t="inlineStr">
        <is>
          <t>tests/modules/spa-reports.spec.ts</t>
        </is>
      </c>
      <c r="I437" s="8" t="inlineStr">
        <is>
          <t>Pass</t>
        </is>
      </c>
      <c r="J437" s="8" t="n"/>
      <c r="K437" s="7" t="n"/>
    </row>
    <row r="438">
      <c r="A438" s="7" t="inlineStr">
        <is>
          <t>SPA-11</t>
        </is>
      </c>
      <c r="B438" s="7" t="inlineStr">
        <is>
          <t>Tab bar and breadcrumb</t>
        </is>
      </c>
      <c r="C438" s="7" t="inlineStr">
        <is>
          <t>Page tests (POM)</t>
        </is>
      </c>
      <c r="D438" s="7" t="inlineStr">
        <is>
          <t>SPA Reports</t>
        </is>
      </c>
      <c r="E438" s="8" t="inlineStr">
        <is>
          <t>REQ-SPA-01</t>
        </is>
      </c>
      <c r="F438" s="8" t="n"/>
      <c r="G438" s="7" t="inlineStr">
        <is>
          <t>Yes</t>
        </is>
      </c>
      <c r="H438" s="7" t="inlineStr">
        <is>
          <t>tests/modules/spa-reports.spec.ts</t>
        </is>
      </c>
      <c r="I438" s="8" t="inlineStr">
        <is>
          <t>Pass</t>
        </is>
      </c>
      <c r="J438" s="8" t="n"/>
      <c r="K438" s="7" t="n"/>
    </row>
    <row r="439">
      <c r="A439" s="7" t="inlineStr">
        <is>
          <t>SPA-12</t>
        </is>
      </c>
      <c r="B439" s="7" t="inlineStr">
        <is>
          <t>Month, project and salesperson tables add up to the KPIs</t>
        </is>
      </c>
      <c r="C439" s="7" t="inlineStr">
        <is>
          <t>Page tests (POM)</t>
        </is>
      </c>
      <c r="D439" s="7" t="inlineStr">
        <is>
          <t>SPA Reports</t>
        </is>
      </c>
      <c r="E439" s="8" t="inlineStr">
        <is>
          <t>REQ-SPA-06</t>
        </is>
      </c>
      <c r="F439" s="8" t="n"/>
      <c r="G439" s="7" t="inlineStr">
        <is>
          <t>Yes</t>
        </is>
      </c>
      <c r="H439" s="7" t="inlineStr">
        <is>
          <t>tests/modules/spa-reports.spec.ts</t>
        </is>
      </c>
      <c r="I439" s="8" t="inlineStr">
        <is>
          <t>Pass</t>
        </is>
      </c>
      <c r="J439" s="8" t="n"/>
      <c r="K439" s="7" t="n"/>
    </row>
    <row r="440">
      <c r="A440" s="7" t="inlineStr">
        <is>
          <t>SPA-13</t>
        </is>
      </c>
      <c r="B440" s="7" t="inlineStr">
        <is>
          <t>Average SPA value</t>
        </is>
      </c>
      <c r="C440" s="7" t="inlineStr">
        <is>
          <t>Page tests (POM)</t>
        </is>
      </c>
      <c r="D440" s="7" t="inlineStr">
        <is>
          <t>SPA Reports</t>
        </is>
      </c>
      <c r="E440" s="8" t="inlineStr">
        <is>
          <t>REQ-SPA-06</t>
        </is>
      </c>
      <c r="F440" s="8" t="n"/>
      <c r="G440" s="7" t="inlineStr">
        <is>
          <t>Yes</t>
        </is>
      </c>
      <c r="H440" s="7" t="inlineStr">
        <is>
          <t>tests/modules/spa-reports.spec.ts</t>
        </is>
      </c>
      <c r="I440" s="8" t="inlineStr">
        <is>
          <t>Pass</t>
        </is>
      </c>
      <c r="J440" s="8" t="n"/>
      <c r="K440" s="7" t="n"/>
    </row>
    <row r="441">
      <c r="A441" s="7" t="inlineStr">
        <is>
          <t>RA-01</t>
        </is>
      </c>
      <c r="B441" s="7" t="inlineStr">
        <is>
          <t>all 8 snapshot cards show a valid, non-negative number</t>
        </is>
      </c>
      <c r="C441" s="7" t="inlineStr">
        <is>
          <t>Core suite</t>
        </is>
      </c>
      <c r="D441" s="7" t="inlineStr">
        <is>
          <t>Reports &amp; Analytics hub</t>
        </is>
      </c>
      <c r="E441" s="8" t="inlineStr">
        <is>
          <t>REQ-HUB-01</t>
        </is>
      </c>
      <c r="F441" s="8" t="n"/>
      <c r="G441" s="7" t="inlineStr">
        <is>
          <t>Yes</t>
        </is>
      </c>
      <c r="H441" s="7" t="inlineStr">
        <is>
          <t>tests/reports.spec.ts</t>
        </is>
      </c>
      <c r="I441" s="8" t="inlineStr">
        <is>
          <t>Pass</t>
        </is>
      </c>
      <c r="J441" s="8" t="n"/>
      <c r="K441" s="7" t="n"/>
    </row>
    <row r="442">
      <c r="A442" s="7" t="inlineStr">
        <is>
          <t>RA-02</t>
        </is>
      </c>
      <c r="B442" s="7" t="inlineStr">
        <is>
          <t>snapshot values match the API response (UI vs backend)</t>
        </is>
      </c>
      <c r="C442" s="7" t="inlineStr">
        <is>
          <t>Core suite</t>
        </is>
      </c>
      <c r="D442" s="7" t="inlineStr">
        <is>
          <t>Reports &amp; Analytics hub</t>
        </is>
      </c>
      <c r="E442" s="8" t="inlineStr">
        <is>
          <t>REQ-HUB-01</t>
        </is>
      </c>
      <c r="F442" s="8" t="n"/>
      <c r="G442" s="7" t="inlineStr">
        <is>
          <t>Yes</t>
        </is>
      </c>
      <c r="H442" s="7" t="inlineStr">
        <is>
          <t>tests/reports.spec.ts</t>
        </is>
      </c>
      <c r="I442" s="8" t="inlineStr">
        <is>
          <t>Pass</t>
        </is>
      </c>
      <c r="J442" s="8" t="n"/>
      <c r="K442" s="7" t="n"/>
    </row>
    <row r="443">
      <c r="A443" s="7" t="inlineStr">
        <is>
          <t>RA-03</t>
        </is>
      </c>
      <c r="B443" s="7" t="inlineStr">
        <is>
          <t>values are stable after reload</t>
        </is>
      </c>
      <c r="C443" s="7" t="inlineStr">
        <is>
          <t>Core suite</t>
        </is>
      </c>
      <c r="D443" s="7" t="inlineStr">
        <is>
          <t>Reports &amp; Analytics hub</t>
        </is>
      </c>
      <c r="E443" s="8" t="inlineStr">
        <is>
          <t>REQ-HUB-01</t>
        </is>
      </c>
      <c r="F443" s="8" t="n"/>
      <c r="G443" s="7" t="inlineStr">
        <is>
          <t>Yes</t>
        </is>
      </c>
      <c r="H443" s="7" t="inlineStr">
        <is>
          <t>tests/reports.spec.ts</t>
        </is>
      </c>
      <c r="I443" s="8" t="inlineStr">
        <is>
          <t>Pass</t>
        </is>
      </c>
      <c r="J443" s="8" t="n"/>
      <c r="K443" s="7" t="n"/>
    </row>
    <row r="444">
      <c r="A444" s="7" t="inlineStr">
        <is>
          <t>RA-04</t>
        </is>
      </c>
      <c r="B444" s="7" t="inlineStr">
        <is>
          <t>hub loads with no JS errors and no failed API calls</t>
        </is>
      </c>
      <c r="C444" s="7" t="inlineStr">
        <is>
          <t>Core suite</t>
        </is>
      </c>
      <c r="D444" s="7" t="inlineStr">
        <is>
          <t>Reports &amp; Analytics hub</t>
        </is>
      </c>
      <c r="E444" s="8" t="inlineStr">
        <is>
          <t>REQ-HUB-03</t>
        </is>
      </c>
      <c r="F444" s="8" t="n"/>
      <c r="G444" s="7" t="inlineStr">
        <is>
          <t>Yes</t>
        </is>
      </c>
      <c r="H444" s="7" t="inlineStr">
        <is>
          <t>tests/reports.spec.ts</t>
        </is>
      </c>
      <c r="I444" s="8" t="inlineStr">
        <is>
          <t>Pass</t>
        </is>
      </c>
      <c r="J444" s="8" t="n"/>
      <c r="K444" s="7" t="n"/>
    </row>
    <row r="445">
      <c r="A445" s="7" t="inlineStr">
        <is>
          <t>RA-05</t>
        </is>
      </c>
      <c r="B445" s="7" t="inlineStr">
        <is>
          <t>module status summary = number of module cards per status</t>
        </is>
      </c>
      <c r="C445" s="7" t="inlineStr">
        <is>
          <t>Core suite</t>
        </is>
      </c>
      <c r="D445" s="7" t="inlineStr">
        <is>
          <t>Reports &amp; Analytics hub</t>
        </is>
      </c>
      <c r="E445" s="8" t="inlineStr">
        <is>
          <t>REQ-HUB-02</t>
        </is>
      </c>
      <c r="F445" s="8" t="n"/>
      <c r="G445" s="7" t="inlineStr">
        <is>
          <t>Yes</t>
        </is>
      </c>
      <c r="H445" s="7" t="inlineStr">
        <is>
          <t>tests/reports.spec.ts</t>
        </is>
      </c>
      <c r="I445" s="8" t="inlineStr">
        <is>
          <t>Pass</t>
        </is>
      </c>
      <c r="J445" s="8" t="n"/>
      <c r="K445" s="7" t="n"/>
    </row>
    <row r="446">
      <c r="A446" s="7" t="inlineStr">
        <is>
          <t>RA-MOD-01</t>
        </is>
      </c>
      <c r="B446" s="7" t="inlineStr">
        <is>
          <t>Lead Reports card opens /reports/leads</t>
        </is>
      </c>
      <c r="C446" s="7" t="inlineStr">
        <is>
          <t>Core suite</t>
        </is>
      </c>
      <c r="D446" s="7" t="inlineStr">
        <is>
          <t>Lead Reports</t>
        </is>
      </c>
      <c r="E446" s="8" t="inlineStr">
        <is>
          <t>REQ-LR-01</t>
        </is>
      </c>
      <c r="F446" s="8" t="n"/>
      <c r="G446" s="7" t="inlineStr">
        <is>
          <t>Yes</t>
        </is>
      </c>
      <c r="H446" s="7" t="inlineStr">
        <is>
          <t>tests/reports.spec.ts</t>
        </is>
      </c>
      <c r="I446" s="8" t="inlineStr">
        <is>
          <t>Pass</t>
        </is>
      </c>
      <c r="J446" s="8" t="n"/>
      <c r="K446" s="7" t="n"/>
    </row>
    <row r="447">
      <c r="A447" s="7" t="inlineStr">
        <is>
          <t>RA-MOD-02</t>
        </is>
      </c>
      <c r="B447" s="7" t="inlineStr">
        <is>
          <t>Sales Reports card opens /reports/sales</t>
        </is>
      </c>
      <c r="C447" s="7" t="inlineStr">
        <is>
          <t>Core suite</t>
        </is>
      </c>
      <c r="D447" s="7" t="inlineStr">
        <is>
          <t>Sales Reports</t>
        </is>
      </c>
      <c r="E447" s="8" t="inlineStr">
        <is>
          <t>REQ-SAL-01</t>
        </is>
      </c>
      <c r="F447" s="8" t="n"/>
      <c r="G447" s="7" t="inlineStr">
        <is>
          <t>Yes</t>
        </is>
      </c>
      <c r="H447" s="7" t="inlineStr">
        <is>
          <t>tests/reports.spec.ts</t>
        </is>
      </c>
      <c r="I447" s="8" t="inlineStr">
        <is>
          <t>Pass</t>
        </is>
      </c>
      <c r="J447" s="8" t="n"/>
      <c r="K447" s="7" t="n"/>
    </row>
    <row r="448">
      <c r="A448" s="7" t="inlineStr">
        <is>
          <t>RA-MOD-03</t>
        </is>
      </c>
      <c r="B448" s="7" t="inlineStr">
        <is>
          <t>Inventory Reports card opens /reports/inventory</t>
        </is>
      </c>
      <c r="C448" s="7" t="inlineStr">
        <is>
          <t>Core suite</t>
        </is>
      </c>
      <c r="D448" s="7" t="inlineStr">
        <is>
          <t>Inventory Reports</t>
        </is>
      </c>
      <c r="E448" s="8" t="inlineStr">
        <is>
          <t>REQ-INV-01</t>
        </is>
      </c>
      <c r="F448" s="8" t="n"/>
      <c r="G448" s="7" t="inlineStr">
        <is>
          <t>Yes</t>
        </is>
      </c>
      <c r="H448" s="7" t="inlineStr">
        <is>
          <t>tests/reports.spec.ts</t>
        </is>
      </c>
      <c r="I448" s="8" t="inlineStr">
        <is>
          <t>Pass</t>
        </is>
      </c>
      <c r="J448" s="8" t="n"/>
      <c r="K448" s="7" t="n"/>
    </row>
    <row r="449">
      <c r="A449" s="7" t="inlineStr">
        <is>
          <t>RA-MOD-04</t>
        </is>
      </c>
      <c r="B449" s="7" t="inlineStr">
        <is>
          <t>Customer Reports card opens /reports/customers</t>
        </is>
      </c>
      <c r="C449" s="7" t="inlineStr">
        <is>
          <t>Core suite</t>
        </is>
      </c>
      <c r="D449" s="7" t="inlineStr">
        <is>
          <t>Customer Reports</t>
        </is>
      </c>
      <c r="E449" s="8" t="inlineStr">
        <is>
          <t>REQ-CUS-01</t>
        </is>
      </c>
      <c r="F449" s="8" t="n"/>
      <c r="G449" s="7" t="inlineStr">
        <is>
          <t>Yes</t>
        </is>
      </c>
      <c r="H449" s="7" t="inlineStr">
        <is>
          <t>tests/reports.spec.ts</t>
        </is>
      </c>
      <c r="I449" s="8" t="inlineStr">
        <is>
          <t>Pass</t>
        </is>
      </c>
      <c r="J449" s="8" t="n"/>
      <c r="K449" s="7" t="n"/>
    </row>
    <row r="450">
      <c r="A450" s="7" t="inlineStr">
        <is>
          <t>RA-MOD-05</t>
        </is>
      </c>
      <c r="B450" s="7" t="inlineStr">
        <is>
          <t>Broker Reports card opens /reports/brokers</t>
        </is>
      </c>
      <c r="C450" s="7" t="inlineStr">
        <is>
          <t>Core suite</t>
        </is>
      </c>
      <c r="D450" s="7" t="inlineStr">
        <is>
          <t>Broker Reports</t>
        </is>
      </c>
      <c r="E450" s="8" t="inlineStr">
        <is>
          <t>REQ-BRK-01</t>
        </is>
      </c>
      <c r="F450" s="8" t="n"/>
      <c r="G450" s="7" t="inlineStr">
        <is>
          <t>Yes</t>
        </is>
      </c>
      <c r="H450" s="7" t="inlineStr">
        <is>
          <t>tests/reports.spec.ts</t>
        </is>
      </c>
      <c r="I450" s="8" t="inlineStr">
        <is>
          <t>Pass</t>
        </is>
      </c>
      <c r="J450" s="8" t="n"/>
      <c r="K450" s="7" t="n"/>
    </row>
    <row r="451">
      <c r="A451" s="7" t="inlineStr">
        <is>
          <t>RA-MOD-06</t>
        </is>
      </c>
      <c r="B451" s="7" t="inlineStr">
        <is>
          <t>Marketing Reports card opens /reports/marketing</t>
        </is>
      </c>
      <c r="C451" s="7" t="inlineStr">
        <is>
          <t>Core suite</t>
        </is>
      </c>
      <c r="D451" s="7" t="inlineStr">
        <is>
          <t>Marketing Reports</t>
        </is>
      </c>
      <c r="E451" s="8" t="inlineStr">
        <is>
          <t>REQ-MKT-01</t>
        </is>
      </c>
      <c r="F451" s="8" t="n"/>
      <c r="G451" s="7" t="inlineStr">
        <is>
          <t>Yes</t>
        </is>
      </c>
      <c r="H451" s="7" t="inlineStr">
        <is>
          <t>tests/reports.spec.ts</t>
        </is>
      </c>
      <c r="I451" s="8" t="inlineStr">
        <is>
          <t>Pass</t>
        </is>
      </c>
      <c r="J451" s="8" t="n"/>
      <c r="K451" s="7" t="n"/>
    </row>
    <row r="452">
      <c r="A452" s="7" t="inlineStr">
        <is>
          <t>RA-MOD-07</t>
        </is>
      </c>
      <c r="B452" s="7" t="inlineStr">
        <is>
          <t>Reservation Reports card opens /reports/reservations</t>
        </is>
      </c>
      <c r="C452" s="7" t="inlineStr">
        <is>
          <t>Core suite</t>
        </is>
      </c>
      <c r="D452" s="7" t="inlineStr">
        <is>
          <t>Reservation Reports</t>
        </is>
      </c>
      <c r="E452" s="8" t="inlineStr">
        <is>
          <t>REQ-RES-01</t>
        </is>
      </c>
      <c r="F452" s="8" t="n"/>
      <c r="G452" s="7" t="inlineStr">
        <is>
          <t>Yes</t>
        </is>
      </c>
      <c r="H452" s="7" t="inlineStr">
        <is>
          <t>tests/reports.spec.ts</t>
        </is>
      </c>
      <c r="I452" s="8" t="inlineStr">
        <is>
          <t>Pass</t>
        </is>
      </c>
      <c r="J452" s="8" t="n"/>
      <c r="K452" s="7" t="n"/>
    </row>
    <row r="453">
      <c r="A453" s="7" t="inlineStr">
        <is>
          <t>RA-MOD-08</t>
        </is>
      </c>
      <c r="B453" s="7" t="inlineStr">
        <is>
          <t>SPA Reports card opens /reports/spa</t>
        </is>
      </c>
      <c r="C453" s="7" t="inlineStr">
        <is>
          <t>Core suite</t>
        </is>
      </c>
      <c r="D453" s="7" t="inlineStr">
        <is>
          <t>SPA Reports</t>
        </is>
      </c>
      <c r="E453" s="8" t="inlineStr">
        <is>
          <t>REQ-SPA-01</t>
        </is>
      </c>
      <c r="F453" s="8" t="n"/>
      <c r="G453" s="7" t="inlineStr">
        <is>
          <t>Yes</t>
        </is>
      </c>
      <c r="H453" s="7" t="inlineStr">
        <is>
          <t>tests/reports.spec.ts</t>
        </is>
      </c>
      <c r="I453" s="8" t="inlineStr">
        <is>
          <t>Pass</t>
        </is>
      </c>
      <c r="J453" s="8" t="n"/>
      <c r="K453" s="7" t="n"/>
    </row>
    <row r="454">
      <c r="A454" s="7" t="inlineStr">
        <is>
          <t>RA-MOD-09</t>
        </is>
      </c>
      <c r="B454" s="7" t="inlineStr">
        <is>
          <t>Collection Reports card opens /reports/collections</t>
        </is>
      </c>
      <c r="C454" s="7" t="inlineStr">
        <is>
          <t>Core suite</t>
        </is>
      </c>
      <c r="D454" s="7" t="inlineStr">
        <is>
          <t>Collection Reports</t>
        </is>
      </c>
      <c r="E454" s="8" t="inlineStr">
        <is>
          <t>REQ-COL-01</t>
        </is>
      </c>
      <c r="F454" s="8" t="n"/>
      <c r="G454" s="7" t="inlineStr">
        <is>
          <t>Yes</t>
        </is>
      </c>
      <c r="H454" s="7" t="inlineStr">
        <is>
          <t>tests/reports.spec.ts</t>
        </is>
      </c>
      <c r="I454" s="8" t="inlineStr">
        <is>
          <t>Pass</t>
        </is>
      </c>
      <c r="J454" s="8" t="n"/>
      <c r="K454" s="7" t="n"/>
    </row>
    <row r="455">
      <c r="A455" s="7" t="inlineStr">
        <is>
          <t>RA-MOD-10</t>
        </is>
      </c>
      <c r="B455" s="7" t="inlineStr">
        <is>
          <t>Executive Reports card opens /</t>
        </is>
      </c>
      <c r="C455" s="7" t="inlineStr">
        <is>
          <t>Core suite</t>
        </is>
      </c>
      <c r="D455" s="7" t="inlineStr">
        <is>
          <t>Executive Reports (dashboard)</t>
        </is>
      </c>
      <c r="E455" s="8" t="inlineStr">
        <is>
          <t>REQ-EXE-01</t>
        </is>
      </c>
      <c r="F455" s="8" t="n"/>
      <c r="G455" s="7" t="inlineStr">
        <is>
          <t>Yes</t>
        </is>
      </c>
      <c r="H455" s="7" t="inlineStr">
        <is>
          <t>tests/reports.spec.ts</t>
        </is>
      </c>
      <c r="I455" s="8" t="inlineStr">
        <is>
          <t>Pass</t>
        </is>
      </c>
      <c r="J455" s="8" t="n"/>
      <c r="K455" s="7" t="n"/>
    </row>
    <row r="456">
      <c r="A456" s="7" t="inlineStr">
        <is>
          <t>RA-MOD-11</t>
        </is>
      </c>
      <c r="B456" s="7" t="inlineStr">
        <is>
          <t>Exception Reports card opens /reports/exceptions</t>
        </is>
      </c>
      <c r="C456" s="7" t="inlineStr">
        <is>
          <t>Core suite</t>
        </is>
      </c>
      <c r="D456" s="7" t="inlineStr">
        <is>
          <t>Exception Reports</t>
        </is>
      </c>
      <c r="E456" s="8" t="inlineStr">
        <is>
          <t>REQ-EXC-01</t>
        </is>
      </c>
      <c r="F456" s="8" t="n"/>
      <c r="G456" s="7" t="inlineStr">
        <is>
          <t>Yes</t>
        </is>
      </c>
      <c r="H456" s="7" t="inlineStr">
        <is>
          <t>tests/reports.spec.ts</t>
        </is>
      </c>
      <c r="I456" s="8" t="inlineStr">
        <is>
          <t>Pass</t>
        </is>
      </c>
      <c r="J456" s="8" t="n"/>
      <c r="K456" s="7" t="n"/>
    </row>
    <row r="457">
      <c r="A457" s="7" t="inlineStr">
        <is>
          <t>RM-01</t>
        </is>
      </c>
      <c r="B457" s="7" t="inlineStr">
        <is>
          <t>Lead Reports: every KPI valid, every table renders, no errors</t>
        </is>
      </c>
      <c r="C457" s="7" t="inlineStr">
        <is>
          <t>Core suite</t>
        </is>
      </c>
      <c r="D457" s="7" t="inlineStr">
        <is>
          <t>Lead Reports</t>
        </is>
      </c>
      <c r="E457" s="8" t="inlineStr">
        <is>
          <t>REQ-LR-07</t>
        </is>
      </c>
      <c r="F457" s="8" t="n"/>
      <c r="G457" s="7" t="inlineStr">
        <is>
          <t>Yes</t>
        </is>
      </c>
      <c r="H457" s="7" t="inlineStr">
        <is>
          <t>tests/reports.spec.ts</t>
        </is>
      </c>
      <c r="I457" s="8" t="inlineStr">
        <is>
          <t>Pass</t>
        </is>
      </c>
      <c r="J457" s="8" t="n"/>
      <c r="K457" s="7" t="n"/>
    </row>
    <row r="458">
      <c r="A458" s="7" t="inlineStr">
        <is>
          <t>RM-02</t>
        </is>
      </c>
      <c r="B458" s="7" t="inlineStr">
        <is>
          <t>Sales Reports: every KPI valid, every table renders, no errors</t>
        </is>
      </c>
      <c r="C458" s="7" t="inlineStr">
        <is>
          <t>Core suite</t>
        </is>
      </c>
      <c r="D458" s="7" t="inlineStr">
        <is>
          <t>Sales Reports</t>
        </is>
      </c>
      <c r="E458" s="8" t="inlineStr">
        <is>
          <t>REQ-SAL-02</t>
        </is>
      </c>
      <c r="F458" s="8" t="n"/>
      <c r="G458" s="7" t="inlineStr">
        <is>
          <t>Yes</t>
        </is>
      </c>
      <c r="H458" s="7" t="inlineStr">
        <is>
          <t>tests/reports.spec.ts</t>
        </is>
      </c>
      <c r="I458" s="8" t="inlineStr">
        <is>
          <t>Pass</t>
        </is>
      </c>
      <c r="J458" s="8" t="n"/>
      <c r="K458" s="7" t="n"/>
    </row>
    <row r="459">
      <c r="A459" s="7" t="inlineStr">
        <is>
          <t>RM-03</t>
        </is>
      </c>
      <c r="B459" s="7" t="inlineStr">
        <is>
          <t>Inventory Reports: every KPI valid, every table renders, no errors</t>
        </is>
      </c>
      <c r="C459" s="7" t="inlineStr">
        <is>
          <t>Core suite</t>
        </is>
      </c>
      <c r="D459" s="7" t="inlineStr">
        <is>
          <t>Inventory Reports</t>
        </is>
      </c>
      <c r="E459" s="8" t="inlineStr">
        <is>
          <t>REQ-INV-02</t>
        </is>
      </c>
      <c r="F459" s="8" t="n"/>
      <c r="G459" s="7" t="inlineStr">
        <is>
          <t>Yes</t>
        </is>
      </c>
      <c r="H459" s="7" t="inlineStr">
        <is>
          <t>tests/reports.spec.ts</t>
        </is>
      </c>
      <c r="I459" s="8" t="inlineStr">
        <is>
          <t>Pass</t>
        </is>
      </c>
      <c r="J459" s="8" t="n"/>
      <c r="K459" s="7" t="n"/>
    </row>
    <row r="460">
      <c r="A460" s="7" t="inlineStr">
        <is>
          <t>RM-04</t>
        </is>
      </c>
      <c r="B460" s="7" t="inlineStr">
        <is>
          <t>Customer Reports: every KPI valid, every table renders, no errors</t>
        </is>
      </c>
      <c r="C460" s="7" t="inlineStr">
        <is>
          <t>Core suite</t>
        </is>
      </c>
      <c r="D460" s="7" t="inlineStr">
        <is>
          <t>Customer Reports</t>
        </is>
      </c>
      <c r="E460" s="8" t="inlineStr">
        <is>
          <t>REQ-CUS-02</t>
        </is>
      </c>
      <c r="F460" s="8" t="n"/>
      <c r="G460" s="7" t="inlineStr">
        <is>
          <t>Yes</t>
        </is>
      </c>
      <c r="H460" s="7" t="inlineStr">
        <is>
          <t>tests/reports.spec.ts</t>
        </is>
      </c>
      <c r="I460" s="8" t="inlineStr">
        <is>
          <t>Pass</t>
        </is>
      </c>
      <c r="J460" s="8" t="n"/>
      <c r="K460" s="7" t="n"/>
    </row>
    <row r="461">
      <c r="A461" s="7" t="inlineStr">
        <is>
          <t>RM-05</t>
        </is>
      </c>
      <c r="B461" s="7" t="inlineStr">
        <is>
          <t>Broker Reports: every KPI valid, every table renders, no errors</t>
        </is>
      </c>
      <c r="C461" s="7" t="inlineStr">
        <is>
          <t>Core suite</t>
        </is>
      </c>
      <c r="D461" s="7" t="inlineStr">
        <is>
          <t>Broker Reports</t>
        </is>
      </c>
      <c r="E461" s="8" t="inlineStr">
        <is>
          <t>REQ-BRK-02</t>
        </is>
      </c>
      <c r="F461" s="8" t="n"/>
      <c r="G461" s="7" t="inlineStr">
        <is>
          <t>Yes</t>
        </is>
      </c>
      <c r="H461" s="7" t="inlineStr">
        <is>
          <t>tests/reports.spec.ts</t>
        </is>
      </c>
      <c r="I461" s="8" t="inlineStr">
        <is>
          <t>Pass</t>
        </is>
      </c>
      <c r="J461" s="8" t="n"/>
      <c r="K461" s="7" t="n"/>
    </row>
    <row r="462">
      <c r="A462" s="7" t="inlineStr">
        <is>
          <t>RM-06</t>
        </is>
      </c>
      <c r="B462" s="7" t="inlineStr">
        <is>
          <t>Marketing Reports: every KPI valid, every table renders, no errors</t>
        </is>
      </c>
      <c r="C462" s="7" t="inlineStr">
        <is>
          <t>Core suite</t>
        </is>
      </c>
      <c r="D462" s="7" t="inlineStr">
        <is>
          <t>Marketing Reports</t>
        </is>
      </c>
      <c r="E462" s="8" t="inlineStr">
        <is>
          <t>REQ-MKT-02</t>
        </is>
      </c>
      <c r="F462" s="8" t="n"/>
      <c r="G462" s="7" t="inlineStr">
        <is>
          <t>Yes</t>
        </is>
      </c>
      <c r="H462" s="7" t="inlineStr">
        <is>
          <t>tests/reports.spec.ts</t>
        </is>
      </c>
      <c r="I462" s="8" t="inlineStr">
        <is>
          <t>Pass</t>
        </is>
      </c>
      <c r="J462" s="8" t="n"/>
      <c r="K462" s="7" t="n"/>
    </row>
    <row r="463">
      <c r="A463" s="7" t="inlineStr">
        <is>
          <t>RM-07</t>
        </is>
      </c>
      <c r="B463" s="7" t="inlineStr">
        <is>
          <t>Reservation Reports: every KPI valid, every table renders, no errors</t>
        </is>
      </c>
      <c r="C463" s="7" t="inlineStr">
        <is>
          <t>Core suite</t>
        </is>
      </c>
      <c r="D463" s="7" t="inlineStr">
        <is>
          <t>Reservation Reports</t>
        </is>
      </c>
      <c r="E463" s="8" t="inlineStr">
        <is>
          <t>REQ-RES-02</t>
        </is>
      </c>
      <c r="F463" s="8" t="n"/>
      <c r="G463" s="7" t="inlineStr">
        <is>
          <t>Yes</t>
        </is>
      </c>
      <c r="H463" s="7" t="inlineStr">
        <is>
          <t>tests/reports.spec.ts</t>
        </is>
      </c>
      <c r="I463" s="8" t="inlineStr">
        <is>
          <t>Pass</t>
        </is>
      </c>
      <c r="J463" s="8" t="n"/>
      <c r="K463" s="7" t="n"/>
    </row>
    <row r="464">
      <c r="A464" s="7" t="inlineStr">
        <is>
          <t>RM-08</t>
        </is>
      </c>
      <c r="B464" s="7" t="inlineStr">
        <is>
          <t>SPA Reports: every KPI valid, every table renders, no errors</t>
        </is>
      </c>
      <c r="C464" s="7" t="inlineStr">
        <is>
          <t>Core suite</t>
        </is>
      </c>
      <c r="D464" s="7" t="inlineStr">
        <is>
          <t>SPA Reports</t>
        </is>
      </c>
      <c r="E464" s="8" t="inlineStr">
        <is>
          <t>REQ-SPA-02</t>
        </is>
      </c>
      <c r="F464" s="8" t="n"/>
      <c r="G464" s="7" t="inlineStr">
        <is>
          <t>Yes</t>
        </is>
      </c>
      <c r="H464" s="7" t="inlineStr">
        <is>
          <t>tests/reports.spec.ts</t>
        </is>
      </c>
      <c r="I464" s="8" t="inlineStr">
        <is>
          <t>Pass</t>
        </is>
      </c>
      <c r="J464" s="8" t="n"/>
      <c r="K464" s="7" t="n"/>
    </row>
    <row r="465">
      <c r="A465" s="7" t="inlineStr">
        <is>
          <t>RM-09</t>
        </is>
      </c>
      <c r="B465" s="7" t="inlineStr">
        <is>
          <t>Collection Reports: every KPI valid, every table renders, no errors</t>
        </is>
      </c>
      <c r="C465" s="7" t="inlineStr">
        <is>
          <t>Core suite</t>
        </is>
      </c>
      <c r="D465" s="7" t="inlineStr">
        <is>
          <t>Collection Reports</t>
        </is>
      </c>
      <c r="E465" s="8" t="inlineStr">
        <is>
          <t>REQ-COL-02</t>
        </is>
      </c>
      <c r="F465" s="8" t="n"/>
      <c r="G465" s="7" t="inlineStr">
        <is>
          <t>Yes</t>
        </is>
      </c>
      <c r="H465" s="7" t="inlineStr">
        <is>
          <t>tests/reports.spec.ts</t>
        </is>
      </c>
      <c r="I465" s="8" t="inlineStr">
        <is>
          <t>Pass</t>
        </is>
      </c>
      <c r="J465" s="8" t="n"/>
      <c r="K465" s="7" t="n"/>
    </row>
    <row r="466">
      <c r="A466" s="7" t="inlineStr">
        <is>
          <t>RM-10</t>
        </is>
      </c>
      <c r="B466" s="7" t="inlineStr">
        <is>
          <t>Exception Reports: every KPI valid, every table renders, no errors</t>
        </is>
      </c>
      <c r="C466" s="7" t="inlineStr">
        <is>
          <t>Core suite</t>
        </is>
      </c>
      <c r="D466" s="7" t="inlineStr">
        <is>
          <t>Exception Reports</t>
        </is>
      </c>
      <c r="E466" s="8" t="inlineStr">
        <is>
          <t>REQ-EXC-02</t>
        </is>
      </c>
      <c r="F466" s="8" t="n"/>
      <c r="G466" s="7" t="inlineStr">
        <is>
          <t>Yes</t>
        </is>
      </c>
      <c r="H466" s="7" t="inlineStr">
        <is>
          <t>tests/reports.spec.ts</t>
        </is>
      </c>
      <c r="I466" s="8" t="inlineStr">
        <is>
          <t>Pass</t>
        </is>
      </c>
      <c r="J466" s="8" t="n"/>
      <c r="K466" s="7" t="n"/>
    </row>
    <row r="467">
      <c r="A467" s="7" t="inlineStr">
        <is>
          <t>RM-11</t>
        </is>
      </c>
      <c r="B467" s="7" t="inlineStr">
        <is>
          <t>Executive Dashboard: every KPI valid</t>
        </is>
      </c>
      <c r="C467" s="7" t="inlineStr">
        <is>
          <t>Core suite</t>
        </is>
      </c>
      <c r="D467" s="7" t="inlineStr">
        <is>
          <t>Executive Reports (dashboard)</t>
        </is>
      </c>
      <c r="E467" s="8" t="inlineStr">
        <is>
          <t>REQ-EXE-02</t>
        </is>
      </c>
      <c r="F467" s="8" t="n"/>
      <c r="G467" s="7" t="inlineStr">
        <is>
          <t>Yes</t>
        </is>
      </c>
      <c r="H467" s="7" t="inlineStr">
        <is>
          <t>tests/reports.spec.ts</t>
        </is>
      </c>
      <c r="I467" s="8" t="inlineStr">
        <is>
          <t>Pass</t>
        </is>
      </c>
      <c r="J467" s="8" t="n"/>
      <c r="K467" s="7" t="n"/>
    </row>
    <row r="468">
      <c r="A468" s="7" t="inlineStr">
        <is>
          <t>RA-099</t>
        </is>
      </c>
      <c r="B468" s="7" t="inlineStr">
        <is>
          <t>Verify reports when there are no records.</t>
        </is>
      </c>
      <c r="C468" s="7" t="inlineStr">
        <is>
          <t>Scenarios workbook</t>
        </is>
      </c>
      <c r="D468" s="7" t="inlineStr">
        <is>
          <t>Business scenarios (all pages)</t>
        </is>
      </c>
      <c r="E468" s="8" t="inlineStr">
        <is>
          <t>REQ-SC-13</t>
        </is>
      </c>
      <c r="F468" s="8" t="inlineStr">
        <is>
          <t>Medium</t>
        </is>
      </c>
      <c r="G468" s="7" t="inlineStr">
        <is>
          <t>Yes</t>
        </is>
      </c>
      <c r="H468" s="7" t="inlineStr">
        <is>
          <t>tests/scenarios/boundary-performance.spec.ts</t>
        </is>
      </c>
      <c r="I468" s="8" t="inlineStr">
        <is>
          <t>Pass</t>
        </is>
      </c>
      <c r="J468" s="8" t="n"/>
      <c r="K468" s="7" t="n"/>
    </row>
    <row r="469">
      <c r="A469" s="7" t="inlineStr">
        <is>
          <t>RA-100</t>
        </is>
      </c>
      <c r="B469" s="7" t="inlineStr">
        <is>
          <t>Verify reports when there is only one record.</t>
        </is>
      </c>
      <c r="C469" s="7" t="inlineStr">
        <is>
          <t>Scenarios workbook</t>
        </is>
      </c>
      <c r="D469" s="7" t="inlineStr">
        <is>
          <t>Business scenarios (all pages)</t>
        </is>
      </c>
      <c r="E469" s="8" t="inlineStr">
        <is>
          <t>REQ-SC-13</t>
        </is>
      </c>
      <c r="F469" s="8" t="inlineStr">
        <is>
          <t>Medium</t>
        </is>
      </c>
      <c r="G469" s="7" t="inlineStr">
        <is>
          <t>Yes</t>
        </is>
      </c>
      <c r="H469" s="7" t="inlineStr">
        <is>
          <t>tests/scenarios/boundary-performance.spec.ts</t>
        </is>
      </c>
      <c r="I469" s="8" t="inlineStr">
        <is>
          <t>Pass</t>
        </is>
      </c>
      <c r="J469" s="8" t="n"/>
      <c r="K469" s="7" t="n"/>
    </row>
    <row r="470">
      <c r="A470" s="7" t="inlineStr">
        <is>
          <t>RA-101</t>
        </is>
      </c>
      <c r="B470" s="7" t="inlineStr">
        <is>
          <t>Verify reports with large volumes of records.</t>
        </is>
      </c>
      <c r="C470" s="7" t="inlineStr">
        <is>
          <t>Scenarios workbook</t>
        </is>
      </c>
      <c r="D470" s="7" t="inlineStr">
        <is>
          <t>Business scenarios (all pages)</t>
        </is>
      </c>
      <c r="E470" s="8" t="inlineStr">
        <is>
          <t>REQ-SC-13</t>
        </is>
      </c>
      <c r="F470" s="8" t="inlineStr">
        <is>
          <t>Medium</t>
        </is>
      </c>
      <c r="G470" s="7" t="inlineStr">
        <is>
          <t>Yes</t>
        </is>
      </c>
      <c r="H470" s="7" t="inlineStr">
        <is>
          <t>tests/scenarios/boundary-performance.spec.ts</t>
        </is>
      </c>
      <c r="I470" s="8" t="inlineStr">
        <is>
          <t>Pass</t>
        </is>
      </c>
      <c r="J470" s="8" t="n"/>
      <c r="K470" s="7" t="n"/>
    </row>
    <row r="471">
      <c r="A471" s="7" t="inlineStr">
        <is>
          <t>RA-102</t>
        </is>
      </c>
      <c r="B471" s="7" t="inlineStr">
        <is>
          <t>Verify zero-value KPIs.</t>
        </is>
      </c>
      <c r="C471" s="7" t="inlineStr">
        <is>
          <t>Scenarios workbook</t>
        </is>
      </c>
      <c r="D471" s="7" t="inlineStr">
        <is>
          <t>Business scenarios (all pages)</t>
        </is>
      </c>
      <c r="E471" s="8" t="inlineStr">
        <is>
          <t>REQ-SC-13</t>
        </is>
      </c>
      <c r="F471" s="8" t="inlineStr">
        <is>
          <t>Medium</t>
        </is>
      </c>
      <c r="G471" s="7" t="inlineStr">
        <is>
          <t>Yes</t>
        </is>
      </c>
      <c r="H471" s="7" t="inlineStr">
        <is>
          <t>tests/scenarios/boundary-performance.spec.ts</t>
        </is>
      </c>
      <c r="I471" s="8" t="inlineStr">
        <is>
          <t>Pass</t>
        </is>
      </c>
      <c r="J471" s="8" t="n"/>
      <c r="K471" s="7" t="n"/>
    </row>
    <row r="472">
      <c r="A472" s="7" t="inlineStr">
        <is>
          <t>RA-103</t>
        </is>
      </c>
      <c r="B472" s="7" t="inlineStr">
        <is>
          <t>Verify negative/adjusted values where applicable.</t>
        </is>
      </c>
      <c r="C472" s="7" t="inlineStr">
        <is>
          <t>Scenarios workbook</t>
        </is>
      </c>
      <c r="D472" s="7" t="inlineStr">
        <is>
          <t>Business scenarios (all pages)</t>
        </is>
      </c>
      <c r="E472" s="8" t="inlineStr">
        <is>
          <t>REQ-SC-13</t>
        </is>
      </c>
      <c r="F472" s="8" t="inlineStr">
        <is>
          <t>Medium</t>
        </is>
      </c>
      <c r="G472" s="7" t="inlineStr">
        <is>
          <t>Yes</t>
        </is>
      </c>
      <c r="H472" s="7" t="inlineStr">
        <is>
          <t>tests/scenarios/boundary-performance.spec.ts</t>
        </is>
      </c>
      <c r="I472" s="8" t="inlineStr">
        <is>
          <t>Pass</t>
        </is>
      </c>
      <c r="J472" s="8" t="n"/>
      <c r="K472" s="7" t="n"/>
    </row>
    <row r="473">
      <c r="A473" s="7" t="inlineStr">
        <is>
          <t>RA-104</t>
        </is>
      </c>
      <c r="B473" s="7" t="inlineStr">
        <is>
          <t>Verify records at the exact start and end of a selected date range.</t>
        </is>
      </c>
      <c r="C473" s="7" t="inlineStr">
        <is>
          <t>Scenarios workbook</t>
        </is>
      </c>
      <c r="D473" s="7" t="inlineStr">
        <is>
          <t>Business scenarios (all pages)</t>
        </is>
      </c>
      <c r="E473" s="8" t="inlineStr">
        <is>
          <t>REQ-SC-13</t>
        </is>
      </c>
      <c r="F473" s="8" t="inlineStr">
        <is>
          <t>Medium</t>
        </is>
      </c>
      <c r="G473" s="7" t="inlineStr">
        <is>
          <t>Yes</t>
        </is>
      </c>
      <c r="H473" s="7" t="inlineStr">
        <is>
          <t>tests/scenarios/boundary-performance.spec.ts</t>
        </is>
      </c>
      <c r="I473" s="8" t="inlineStr">
        <is>
          <t>Pass</t>
        </is>
      </c>
      <c r="J473" s="8" t="n"/>
      <c r="K473" s="7" t="n"/>
    </row>
    <row r="474">
      <c r="A474" s="7" t="inlineStr">
        <is>
          <t>RA-105</t>
        </is>
      </c>
      <c r="B474" s="7" t="inlineStr">
        <is>
          <t>Verify data crossing month/year boundaries.</t>
        </is>
      </c>
      <c r="C474" s="7" t="inlineStr">
        <is>
          <t>Scenarios workbook</t>
        </is>
      </c>
      <c r="D474" s="7" t="inlineStr">
        <is>
          <t>Business scenarios (all pages)</t>
        </is>
      </c>
      <c r="E474" s="8" t="inlineStr">
        <is>
          <t>REQ-SC-13</t>
        </is>
      </c>
      <c r="F474" s="8" t="inlineStr">
        <is>
          <t>Medium</t>
        </is>
      </c>
      <c r="G474" s="7" t="inlineStr">
        <is>
          <t>Yes</t>
        </is>
      </c>
      <c r="H474" s="7" t="inlineStr">
        <is>
          <t>tests/scenarios/boundary-performance.spec.ts</t>
        </is>
      </c>
      <c r="I474" s="8" t="inlineStr">
        <is>
          <t>Pass</t>
        </is>
      </c>
      <c r="J474" s="8" t="n"/>
      <c r="K474" s="7" t="n"/>
    </row>
    <row r="475">
      <c r="A475" s="7" t="inlineStr">
        <is>
          <t>RA-106</t>
        </is>
      </c>
      <c r="B475" s="7" t="inlineStr">
        <is>
          <t>Verify Reports &amp; Analytics page loading time under normal usage.</t>
        </is>
      </c>
      <c r="C475" s="7" t="inlineStr">
        <is>
          <t>Scenarios workbook</t>
        </is>
      </c>
      <c r="D475" s="7" t="inlineStr">
        <is>
          <t>Business scenarios (all pages)</t>
        </is>
      </c>
      <c r="E475" s="8" t="inlineStr">
        <is>
          <t>REQ-SC-14</t>
        </is>
      </c>
      <c r="F475" s="8" t="inlineStr">
        <is>
          <t>Medium</t>
        </is>
      </c>
      <c r="G475" s="7" t="inlineStr">
        <is>
          <t>Yes</t>
        </is>
      </c>
      <c r="H475" s="7" t="inlineStr">
        <is>
          <t>tests/scenarios/boundary-performance.spec.ts</t>
        </is>
      </c>
      <c r="I475" s="8" t="inlineStr">
        <is>
          <t>Pass</t>
        </is>
      </c>
      <c r="J475" s="8" t="n"/>
      <c r="K475" s="7" t="n"/>
    </row>
    <row r="476">
      <c r="A476" s="7" t="inlineStr">
        <is>
          <t>RA-107</t>
        </is>
      </c>
      <c r="B476" s="7" t="inlineStr">
        <is>
          <t>Verify individual report module loading performance.</t>
        </is>
      </c>
      <c r="C476" s="7" t="inlineStr">
        <is>
          <t>Scenarios workbook</t>
        </is>
      </c>
      <c r="D476" s="7" t="inlineStr">
        <is>
          <t>Business scenarios (all pages)</t>
        </is>
      </c>
      <c r="E476" s="8" t="inlineStr">
        <is>
          <t>REQ-SC-14</t>
        </is>
      </c>
      <c r="F476" s="8" t="inlineStr">
        <is>
          <t>Medium</t>
        </is>
      </c>
      <c r="G476" s="7" t="inlineStr">
        <is>
          <t>Yes</t>
        </is>
      </c>
      <c r="H476" s="7" t="inlineStr">
        <is>
          <t>tests/scenarios/boundary-performance.spec.ts</t>
        </is>
      </c>
      <c r="I476" s="8" t="inlineStr">
        <is>
          <t>Pass</t>
        </is>
      </c>
      <c r="J476" s="8" t="n"/>
      <c r="K476" s="7" t="n"/>
    </row>
    <row r="477">
      <c r="A477" s="7" t="inlineStr">
        <is>
          <t>RA-108</t>
        </is>
      </c>
      <c r="B477" s="7" t="inlineStr">
        <is>
          <t>Verify report performance with large datasets.</t>
        </is>
      </c>
      <c r="C477" s="7" t="inlineStr">
        <is>
          <t>Scenarios workbook</t>
        </is>
      </c>
      <c r="D477" s="7" t="inlineStr">
        <is>
          <t>Business scenarios (all pages)</t>
        </is>
      </c>
      <c r="E477" s="8" t="inlineStr">
        <is>
          <t>REQ-SC-14</t>
        </is>
      </c>
      <c r="F477" s="8" t="inlineStr">
        <is>
          <t>Medium</t>
        </is>
      </c>
      <c r="G477" s="7" t="inlineStr">
        <is>
          <t>Yes</t>
        </is>
      </c>
      <c r="H477" s="7" t="inlineStr">
        <is>
          <t>tests/scenarios/boundary-performance.spec.ts</t>
        </is>
      </c>
      <c r="I477" s="8" t="inlineStr">
        <is>
          <t>Pass</t>
        </is>
      </c>
      <c r="J477" s="8" t="n"/>
      <c r="K477" s="7" t="n"/>
    </row>
    <row r="478">
      <c r="A478" s="7" t="inlineStr">
        <is>
          <t>RA-109</t>
        </is>
      </c>
      <c r="B478" s="7" t="inlineStr">
        <is>
          <t>Verify multiple users accessing reports simultaneously.</t>
        </is>
      </c>
      <c r="C478" s="7" t="inlineStr">
        <is>
          <t>Scenarios workbook</t>
        </is>
      </c>
      <c r="D478" s="7" t="inlineStr">
        <is>
          <t>Business scenarios (all pages)</t>
        </is>
      </c>
      <c r="E478" s="8" t="inlineStr">
        <is>
          <t>REQ-SC-14</t>
        </is>
      </c>
      <c r="F478" s="8" t="inlineStr">
        <is>
          <t>Medium</t>
        </is>
      </c>
      <c r="G478" s="7" t="inlineStr">
        <is>
          <t>Manual (registered, skipped)</t>
        </is>
      </c>
      <c r="H478" s="7" t="inlineStr">
        <is>
          <t>tests/scenarios/boundary-performance.spec.ts</t>
        </is>
      </c>
      <c r="I478" s="8" t="inlineStr">
        <is>
          <t>Skipped</t>
        </is>
      </c>
      <c r="J478" s="8" t="n"/>
      <c r="K478" s="7" t="inlineStr">
        <is>
          <t>Manual: concurrent-user load needs a load-testing tool (e.g. k6 or JMeter), not a browser test</t>
        </is>
      </c>
    </row>
    <row r="479">
      <c r="A479" s="7" t="inlineStr">
        <is>
          <t>RA-110</t>
        </is>
      </c>
      <c r="B479" s="7" t="inlineStr">
        <is>
          <t>Verify export performance for large datasets.</t>
        </is>
      </c>
      <c r="C479" s="7" t="inlineStr">
        <is>
          <t>Scenarios workbook</t>
        </is>
      </c>
      <c r="D479" s="7" t="inlineStr">
        <is>
          <t>Business scenarios (all pages)</t>
        </is>
      </c>
      <c r="E479" s="8" t="inlineStr">
        <is>
          <t>REQ-SC-14</t>
        </is>
      </c>
      <c r="F479" s="8" t="inlineStr">
        <is>
          <t>Medium</t>
        </is>
      </c>
      <c r="G479" s="7" t="inlineStr">
        <is>
          <t>Yes</t>
        </is>
      </c>
      <c r="H479" s="7" t="inlineStr">
        <is>
          <t>tests/scenarios/boundary-performance.spec.ts</t>
        </is>
      </c>
      <c r="I479" s="8" t="inlineStr">
        <is>
          <t>Pass</t>
        </is>
      </c>
      <c r="J479" s="8" t="n"/>
      <c r="K479" s="7" t="n"/>
    </row>
    <row r="480">
      <c r="A480" s="7" t="inlineStr">
        <is>
          <t>RA-111</t>
        </is>
      </c>
      <c r="B480" s="7" t="inlineStr">
        <is>
          <t>Verify the application remains stable under expected load.</t>
        </is>
      </c>
      <c r="C480" s="7" t="inlineStr">
        <is>
          <t>Scenarios workbook</t>
        </is>
      </c>
      <c r="D480" s="7" t="inlineStr">
        <is>
          <t>Business scenarios (all pages)</t>
        </is>
      </c>
      <c r="E480" s="8" t="inlineStr">
        <is>
          <t>REQ-SC-14</t>
        </is>
      </c>
      <c r="F480" s="8" t="inlineStr">
        <is>
          <t>Medium</t>
        </is>
      </c>
      <c r="G480" s="7" t="inlineStr">
        <is>
          <t>Manual (registered, skipped)</t>
        </is>
      </c>
      <c r="H480" s="7" t="inlineStr">
        <is>
          <t>tests/scenarios/boundary-performance.spec.ts</t>
        </is>
      </c>
      <c r="I480" s="8" t="inlineStr">
        <is>
          <t>Skipped</t>
        </is>
      </c>
      <c r="J480" s="8" t="n"/>
      <c r="K480" s="7" t="inlineStr">
        <is>
          <t>Manual: stability under expected load needs a load-testing tool and an agreed load profile</t>
        </is>
      </c>
    </row>
    <row r="481">
      <c r="A481" s="7" t="inlineStr">
        <is>
          <t>RA-071</t>
        </is>
      </c>
      <c r="B481" s="7" t="inlineStr">
        <is>
          <t>Verify charts display the correct data.</t>
        </is>
      </c>
      <c r="C481" s="7" t="inlineStr">
        <is>
          <t>Scenarios workbook</t>
        </is>
      </c>
      <c r="D481" s="7" t="inlineStr">
        <is>
          <t>Business scenarios (all pages)</t>
        </is>
      </c>
      <c r="E481" s="8" t="inlineStr">
        <is>
          <t>REQ-SC-09</t>
        </is>
      </c>
      <c r="F481" s="8" t="inlineStr">
        <is>
          <t>Medium</t>
        </is>
      </c>
      <c r="G481" s="7" t="inlineStr">
        <is>
          <t>Yes</t>
        </is>
      </c>
      <c r="H481" s="7" t="inlineStr">
        <is>
          <t>tests/scenarios/charts-export.spec.ts</t>
        </is>
      </c>
      <c r="I481" s="8" t="inlineStr">
        <is>
          <t>Pass</t>
        </is>
      </c>
      <c r="J481" s="8" t="n"/>
      <c r="K481" s="7" t="n"/>
    </row>
    <row r="482">
      <c r="A482" s="7" t="inlineStr">
        <is>
          <t>RA-072</t>
        </is>
      </c>
      <c r="B482" s="7" t="inlineStr">
        <is>
          <t>Verify chart values match the corresponding KPI/table values.</t>
        </is>
      </c>
      <c r="C482" s="7" t="inlineStr">
        <is>
          <t>Scenarios workbook</t>
        </is>
      </c>
      <c r="D482" s="7" t="inlineStr">
        <is>
          <t>Business scenarios (all pages)</t>
        </is>
      </c>
      <c r="E482" s="8" t="inlineStr">
        <is>
          <t>REQ-SC-09</t>
        </is>
      </c>
      <c r="F482" s="8" t="inlineStr">
        <is>
          <t>Medium</t>
        </is>
      </c>
      <c r="G482" s="7" t="inlineStr">
        <is>
          <t>Yes</t>
        </is>
      </c>
      <c r="H482" s="7" t="inlineStr">
        <is>
          <t>tests/scenarios/charts-export.spec.ts</t>
        </is>
      </c>
      <c r="I482" s="8" t="inlineStr">
        <is>
          <t>Pass</t>
        </is>
      </c>
      <c r="J482" s="8" t="n"/>
      <c r="K482" s="7" t="n"/>
    </row>
    <row r="483">
      <c r="A483" s="7" t="inlineStr">
        <is>
          <t>RA-073</t>
        </is>
      </c>
      <c r="B483" s="7" t="inlineStr">
        <is>
          <t>Verify charts respond correctly to filters.</t>
        </is>
      </c>
      <c r="C483" s="7" t="inlineStr">
        <is>
          <t>Scenarios workbook</t>
        </is>
      </c>
      <c r="D483" s="7" t="inlineStr">
        <is>
          <t>Business scenarios (all pages)</t>
        </is>
      </c>
      <c r="E483" s="8" t="inlineStr">
        <is>
          <t>REQ-SC-09</t>
        </is>
      </c>
      <c r="F483" s="8" t="inlineStr">
        <is>
          <t>Medium</t>
        </is>
      </c>
      <c r="G483" s="7" t="inlineStr">
        <is>
          <t>Yes</t>
        </is>
      </c>
      <c r="H483" s="7" t="inlineStr">
        <is>
          <t>tests/scenarios/charts-export.spec.ts</t>
        </is>
      </c>
      <c r="I483" s="8" t="inlineStr">
        <is>
          <t>Pass</t>
        </is>
      </c>
      <c r="J483" s="8" t="n"/>
      <c r="K483" s="7" t="n"/>
    </row>
    <row r="484">
      <c r="A484" s="7" t="inlineStr">
        <is>
          <t>RA-074</t>
        </is>
      </c>
      <c r="B484" s="7" t="inlineStr">
        <is>
          <t>Verify charts respond correctly to date-range changes.</t>
        </is>
      </c>
      <c r="C484" s="7" t="inlineStr">
        <is>
          <t>Scenarios workbook</t>
        </is>
      </c>
      <c r="D484" s="7" t="inlineStr">
        <is>
          <t>Business scenarios (all pages)</t>
        </is>
      </c>
      <c r="E484" s="8" t="inlineStr">
        <is>
          <t>REQ-SC-09</t>
        </is>
      </c>
      <c r="F484" s="8" t="inlineStr">
        <is>
          <t>Medium</t>
        </is>
      </c>
      <c r="G484" s="7" t="inlineStr">
        <is>
          <t>Yes</t>
        </is>
      </c>
      <c r="H484" s="7" t="inlineStr">
        <is>
          <t>tests/scenarios/charts-export.spec.ts</t>
        </is>
      </c>
      <c r="I484" s="8" t="inlineStr">
        <is>
          <t>Pass</t>
        </is>
      </c>
      <c r="J484" s="8" t="n"/>
      <c r="K484" s="7" t="n"/>
    </row>
    <row r="485">
      <c r="A485" s="7" t="inlineStr">
        <is>
          <t>RA-075</t>
        </is>
      </c>
      <c r="B485" s="7" t="inlineStr">
        <is>
          <t>Verify legends, labels and data points are displayed correctly.</t>
        </is>
      </c>
      <c r="C485" s="7" t="inlineStr">
        <is>
          <t>Scenarios workbook</t>
        </is>
      </c>
      <c r="D485" s="7" t="inlineStr">
        <is>
          <t>Business scenarios (all pages)</t>
        </is>
      </c>
      <c r="E485" s="8" t="inlineStr">
        <is>
          <t>REQ-SC-09</t>
        </is>
      </c>
      <c r="F485" s="8" t="inlineStr">
        <is>
          <t>Medium</t>
        </is>
      </c>
      <c r="G485" s="7" t="inlineStr">
        <is>
          <t>Yes</t>
        </is>
      </c>
      <c r="H485" s="7" t="inlineStr">
        <is>
          <t>tests/scenarios/charts-export.spec.ts</t>
        </is>
      </c>
      <c r="I485" s="8" t="inlineStr">
        <is>
          <t>Pass</t>
        </is>
      </c>
      <c r="J485" s="8" t="n"/>
      <c r="K485" s="7" t="n"/>
    </row>
    <row r="486">
      <c r="A486" s="7" t="inlineStr">
        <is>
          <t>RA-076</t>
        </is>
      </c>
      <c r="B486" s="7" t="inlineStr">
        <is>
          <t>Verify charts handle zero or missing data appropriately.</t>
        </is>
      </c>
      <c r="C486" s="7" t="inlineStr">
        <is>
          <t>Scenarios workbook</t>
        </is>
      </c>
      <c r="D486" s="7" t="inlineStr">
        <is>
          <t>Business scenarios (all pages)</t>
        </is>
      </c>
      <c r="E486" s="8" t="inlineStr">
        <is>
          <t>REQ-SC-09</t>
        </is>
      </c>
      <c r="F486" s="8" t="inlineStr">
        <is>
          <t>Medium</t>
        </is>
      </c>
      <c r="G486" s="7" t="inlineStr">
        <is>
          <t>Yes</t>
        </is>
      </c>
      <c r="H486" s="7" t="inlineStr">
        <is>
          <t>tests/scenarios/charts-export.spec.ts</t>
        </is>
      </c>
      <c r="I486" s="8" t="inlineStr">
        <is>
          <t>Pass</t>
        </is>
      </c>
      <c r="J486" s="8" t="n"/>
      <c r="K486" s="7" t="n"/>
    </row>
    <row r="487">
      <c r="A487" s="7" t="inlineStr">
        <is>
          <t>RA-077</t>
        </is>
      </c>
      <c r="B487" s="7" t="inlineStr">
        <is>
          <t>Verify Excel export from applicable report modules.</t>
        </is>
      </c>
      <c r="C487" s="7" t="inlineStr">
        <is>
          <t>Scenarios workbook</t>
        </is>
      </c>
      <c r="D487" s="7" t="inlineStr">
        <is>
          <t>Business scenarios (all pages)</t>
        </is>
      </c>
      <c r="E487" s="8" t="inlineStr">
        <is>
          <t>REQ-SC-10</t>
        </is>
      </c>
      <c r="F487" s="8" t="inlineStr">
        <is>
          <t>Medium</t>
        </is>
      </c>
      <c r="G487" s="7" t="inlineStr">
        <is>
          <t>Yes</t>
        </is>
      </c>
      <c r="H487" s="7" t="inlineStr">
        <is>
          <t>tests/scenarios/charts-export.spec.ts</t>
        </is>
      </c>
      <c r="I487" s="8" t="inlineStr">
        <is>
          <t>Pass</t>
        </is>
      </c>
      <c r="J487" s="8" t="n"/>
      <c r="K487" s="7" t="n"/>
    </row>
    <row r="488">
      <c r="A488" s="7" t="inlineStr">
        <is>
          <t>RA-078</t>
        </is>
      </c>
      <c r="B488" s="7" t="inlineStr">
        <is>
          <t>Verify exported data respects the selected filters.</t>
        </is>
      </c>
      <c r="C488" s="7" t="inlineStr">
        <is>
          <t>Scenarios workbook</t>
        </is>
      </c>
      <c r="D488" s="7" t="inlineStr">
        <is>
          <t>Business scenarios (all pages)</t>
        </is>
      </c>
      <c r="E488" s="8" t="inlineStr">
        <is>
          <t>REQ-SC-10</t>
        </is>
      </c>
      <c r="F488" s="8" t="inlineStr">
        <is>
          <t>Medium</t>
        </is>
      </c>
      <c r="G488" s="7" t="inlineStr">
        <is>
          <t>Yes</t>
        </is>
      </c>
      <c r="H488" s="7" t="inlineStr">
        <is>
          <t>tests/scenarios/charts-export.spec.ts</t>
        </is>
      </c>
      <c r="I488" s="8" t="inlineStr">
        <is>
          <t>Pass</t>
        </is>
      </c>
      <c r="J488" s="8" t="n"/>
      <c r="K488" s="7" t="n"/>
    </row>
    <row r="489">
      <c r="A489" s="7" t="inlineStr">
        <is>
          <t>RA-079</t>
        </is>
      </c>
      <c r="B489" s="7" t="inlineStr">
        <is>
          <t>Verify exported data respects the selected date range.</t>
        </is>
      </c>
      <c r="C489" s="7" t="inlineStr">
        <is>
          <t>Scenarios workbook</t>
        </is>
      </c>
      <c r="D489" s="7" t="inlineStr">
        <is>
          <t>Business scenarios (all pages)</t>
        </is>
      </c>
      <c r="E489" s="8" t="inlineStr">
        <is>
          <t>REQ-SC-10</t>
        </is>
      </c>
      <c r="F489" s="8" t="inlineStr">
        <is>
          <t>Medium</t>
        </is>
      </c>
      <c r="G489" s="7" t="inlineStr">
        <is>
          <t>Yes</t>
        </is>
      </c>
      <c r="H489" s="7" t="inlineStr">
        <is>
          <t>tests/scenarios/charts-export.spec.ts</t>
        </is>
      </c>
      <c r="I489" s="8" t="inlineStr">
        <is>
          <t>Pass</t>
        </is>
      </c>
      <c r="J489" s="8" t="n"/>
      <c r="K489" s="7" t="n"/>
    </row>
    <row r="490">
      <c r="A490" s="7" t="inlineStr">
        <is>
          <t>RA-080</t>
        </is>
      </c>
      <c r="B490" s="7" t="inlineStr">
        <is>
          <t>Verify exported row count matches the report.</t>
        </is>
      </c>
      <c r="C490" s="7" t="inlineStr">
        <is>
          <t>Scenarios workbook</t>
        </is>
      </c>
      <c r="D490" s="7" t="inlineStr">
        <is>
          <t>Business scenarios (all pages)</t>
        </is>
      </c>
      <c r="E490" s="8" t="inlineStr">
        <is>
          <t>REQ-SC-10</t>
        </is>
      </c>
      <c r="F490" s="8" t="inlineStr">
        <is>
          <t>Medium</t>
        </is>
      </c>
      <c r="G490" s="7" t="inlineStr">
        <is>
          <t>Yes</t>
        </is>
      </c>
      <c r="H490" s="7" t="inlineStr">
        <is>
          <t>tests/scenarios/charts-export.spec.ts</t>
        </is>
      </c>
      <c r="I490" s="8" t="inlineStr">
        <is>
          <t>Pass</t>
        </is>
      </c>
      <c r="J490" s="8" t="n"/>
      <c r="K490" s="7" t="n"/>
    </row>
    <row r="491">
      <c r="A491" s="7" t="inlineStr">
        <is>
          <t>RA-081</t>
        </is>
      </c>
      <c r="B491" s="7" t="inlineStr">
        <is>
          <t>Verify exported totals match the UI.</t>
        </is>
      </c>
      <c r="C491" s="7" t="inlineStr">
        <is>
          <t>Scenarios workbook</t>
        </is>
      </c>
      <c r="D491" s="7" t="inlineStr">
        <is>
          <t>Business scenarios (all pages)</t>
        </is>
      </c>
      <c r="E491" s="8" t="inlineStr">
        <is>
          <t>REQ-SC-10</t>
        </is>
      </c>
      <c r="F491" s="8" t="inlineStr">
        <is>
          <t>Medium</t>
        </is>
      </c>
      <c r="G491" s="7" t="inlineStr">
        <is>
          <t>Yes</t>
        </is>
      </c>
      <c r="H491" s="7" t="inlineStr">
        <is>
          <t>tests/scenarios/charts-export.spec.ts</t>
        </is>
      </c>
      <c r="I491" s="8" t="inlineStr">
        <is>
          <t>Pass</t>
        </is>
      </c>
      <c r="J491" s="8" t="n"/>
      <c r="K491" s="7" t="n"/>
    </row>
    <row r="492">
      <c r="A492" s="7" t="inlineStr">
        <is>
          <t>RA-082</t>
        </is>
      </c>
      <c r="B492" s="7" t="inlineStr">
        <is>
          <t>Verify per-panel exports contain the correct data.</t>
        </is>
      </c>
      <c r="C492" s="7" t="inlineStr">
        <is>
          <t>Scenarios workbook</t>
        </is>
      </c>
      <c r="D492" s="7" t="inlineStr">
        <is>
          <t>Business scenarios (all pages)</t>
        </is>
      </c>
      <c r="E492" s="8" t="inlineStr">
        <is>
          <t>REQ-SC-10</t>
        </is>
      </c>
      <c r="F492" s="8" t="inlineStr">
        <is>
          <t>Medium</t>
        </is>
      </c>
      <c r="G492" s="7" t="inlineStr">
        <is>
          <t>Yes</t>
        </is>
      </c>
      <c r="H492" s="7" t="inlineStr">
        <is>
          <t>tests/scenarios/charts-export.spec.ts</t>
        </is>
      </c>
      <c r="I492" s="8" t="inlineStr">
        <is>
          <t>Pass</t>
        </is>
      </c>
      <c r="J492" s="8" t="n"/>
      <c r="K492" s="7" t="inlineStr">
        <is>
          <t>Re-run 16-Oct-2026 after a test timing fix (table read before it rendered): passed</t>
        </is>
      </c>
    </row>
    <row r="493">
      <c r="A493" s="7" t="inlineStr">
        <is>
          <t>RA-083</t>
        </is>
      </c>
      <c r="B493" s="7" t="inlineStr">
        <is>
          <t>Verify export functionality handles large result sets correctly.</t>
        </is>
      </c>
      <c r="C493" s="7" t="inlineStr">
        <is>
          <t>Scenarios workbook</t>
        </is>
      </c>
      <c r="D493" s="7" t="inlineStr">
        <is>
          <t>Business scenarios (all pages)</t>
        </is>
      </c>
      <c r="E493" s="8" t="inlineStr">
        <is>
          <t>REQ-SC-10</t>
        </is>
      </c>
      <c r="F493" s="8" t="inlineStr">
        <is>
          <t>Medium</t>
        </is>
      </c>
      <c r="G493" s="7" t="inlineStr">
        <is>
          <t>Yes</t>
        </is>
      </c>
      <c r="H493" s="7" t="inlineStr">
        <is>
          <t>tests/scenarios/charts-export.spec.ts</t>
        </is>
      </c>
      <c r="I493" s="8" t="inlineStr">
        <is>
          <t>Pass</t>
        </is>
      </c>
      <c r="J493" s="8" t="n"/>
      <c r="K493" s="7" t="n"/>
    </row>
    <row r="494">
      <c r="A494" s="7" t="inlineStr">
        <is>
          <t>RA-066</t>
        </is>
      </c>
      <c r="B494" s="7" t="inlineStr">
        <is>
          <t>Verify creation of a record updates the applicable report.</t>
        </is>
      </c>
      <c r="C494" s="7" t="inlineStr">
        <is>
          <t>Scenarios workbook</t>
        </is>
      </c>
      <c r="D494" s="7" t="inlineStr">
        <is>
          <t>Business scenarios (all pages)</t>
        </is>
      </c>
      <c r="E494" s="8" t="inlineStr">
        <is>
          <t>REQ-SC-08</t>
        </is>
      </c>
      <c r="F494" s="8" t="inlineStr">
        <is>
          <t>Medium</t>
        </is>
      </c>
      <c r="G494" s="7" t="inlineStr">
        <is>
          <t>Manual (registered, skipped)</t>
        </is>
      </c>
      <c r="H494" s="7" t="inlineStr">
        <is>
          <t>tests/scenarios/end-to-end.spec.ts</t>
        </is>
      </c>
      <c r="I494" s="8" t="inlineStr">
        <is>
          <t>Skipped</t>
        </is>
      </c>
      <c r="J494" s="8" t="n"/>
      <c r="K494" s="7" t="inlineStr">
        <is>
          <t>Manual: creates or changes CRM records; the automated suite only reads QA data. Run manually, or approve test-data writes on QA first</t>
        </is>
      </c>
    </row>
    <row r="495">
      <c r="A495" s="7" t="inlineStr">
        <is>
          <t>RA-067</t>
        </is>
      </c>
      <c r="B495" s="7" t="inlineStr">
        <is>
          <t>Verify editing a record updates the relevant report values.</t>
        </is>
      </c>
      <c r="C495" s="7" t="inlineStr">
        <is>
          <t>Scenarios workbook</t>
        </is>
      </c>
      <c r="D495" s="7" t="inlineStr">
        <is>
          <t>Business scenarios (all pages)</t>
        </is>
      </c>
      <c r="E495" s="8" t="inlineStr">
        <is>
          <t>REQ-SC-08</t>
        </is>
      </c>
      <c r="F495" s="8" t="inlineStr">
        <is>
          <t>Medium</t>
        </is>
      </c>
      <c r="G495" s="7" t="inlineStr">
        <is>
          <t>Manual (registered, skipped)</t>
        </is>
      </c>
      <c r="H495" s="7" t="inlineStr">
        <is>
          <t>tests/scenarios/end-to-end.spec.ts</t>
        </is>
      </c>
      <c r="I495" s="8" t="inlineStr">
        <is>
          <t>Skipped</t>
        </is>
      </c>
      <c r="J495" s="8" t="n"/>
      <c r="K495" s="7" t="inlineStr">
        <is>
          <t>Manual: creates or changes CRM records; the automated suite only reads QA data. Run manually, or approve test-data writes on QA first</t>
        </is>
      </c>
    </row>
    <row r="496">
      <c r="A496" s="7" t="inlineStr">
        <is>
          <t>RA-068</t>
        </is>
      </c>
      <c r="B496" s="7" t="inlineStr">
        <is>
          <t>Verify deletion of a record updates the applicable count and totals.</t>
        </is>
      </c>
      <c r="C496" s="7" t="inlineStr">
        <is>
          <t>Scenarios workbook</t>
        </is>
      </c>
      <c r="D496" s="7" t="inlineStr">
        <is>
          <t>Business scenarios (all pages)</t>
        </is>
      </c>
      <c r="E496" s="8" t="inlineStr">
        <is>
          <t>REQ-SC-08</t>
        </is>
      </c>
      <c r="F496" s="8" t="inlineStr">
        <is>
          <t>Medium</t>
        </is>
      </c>
      <c r="G496" s="7" t="inlineStr">
        <is>
          <t>Manual (registered, skipped)</t>
        </is>
      </c>
      <c r="H496" s="7" t="inlineStr">
        <is>
          <t>tests/scenarios/end-to-end.spec.ts</t>
        </is>
      </c>
      <c r="I496" s="8" t="inlineStr">
        <is>
          <t>Skipped</t>
        </is>
      </c>
      <c r="J496" s="8" t="n"/>
      <c r="K496" s="7" t="inlineStr">
        <is>
          <t>Manual: creates or changes CRM records; the automated suite only reads QA data. Run manually, or approve test-data writes on QA first</t>
        </is>
      </c>
    </row>
    <row r="497">
      <c r="A497" s="7" t="inlineStr">
        <is>
          <t>RA-069</t>
        </is>
      </c>
      <c r="B497" s="7" t="inlineStr">
        <is>
          <t>Verify cancelled/removed records are handled correctly.</t>
        </is>
      </c>
      <c r="C497" s="7" t="inlineStr">
        <is>
          <t>Scenarios workbook</t>
        </is>
      </c>
      <c r="D497" s="7" t="inlineStr">
        <is>
          <t>Business scenarios (all pages)</t>
        </is>
      </c>
      <c r="E497" s="8" t="inlineStr">
        <is>
          <t>REQ-SC-08</t>
        </is>
      </c>
      <c r="F497" s="8" t="inlineStr">
        <is>
          <t>Medium</t>
        </is>
      </c>
      <c r="G497" s="7" t="inlineStr">
        <is>
          <t>Manual (registered, skipped)</t>
        </is>
      </c>
      <c r="H497" s="7" t="inlineStr">
        <is>
          <t>tests/scenarios/end-to-end.spec.ts</t>
        </is>
      </c>
      <c r="I497" s="8" t="inlineStr">
        <is>
          <t>Skipped</t>
        </is>
      </c>
      <c r="J497" s="8" t="n"/>
      <c r="K497" s="7" t="inlineStr">
        <is>
          <t>Manual: creates or changes CRM records; the automated suite only reads QA data. Run manually, or approve test-data writes on QA first</t>
        </is>
      </c>
    </row>
    <row r="498">
      <c r="A498" s="7" t="inlineStr">
        <is>
          <t>RA-070</t>
        </is>
      </c>
      <c r="B498" s="7" t="inlineStr">
        <is>
          <t>Verify report values remain consistent after create, edit and delete operations.</t>
        </is>
      </c>
      <c r="C498" s="7" t="inlineStr">
        <is>
          <t>Scenarios workbook</t>
        </is>
      </c>
      <c r="D498" s="7" t="inlineStr">
        <is>
          <t>Business scenarios (all pages)</t>
        </is>
      </c>
      <c r="E498" s="8" t="inlineStr">
        <is>
          <t>REQ-SC-08</t>
        </is>
      </c>
      <c r="F498" s="8" t="inlineStr">
        <is>
          <t>Medium</t>
        </is>
      </c>
      <c r="G498" s="7" t="inlineStr">
        <is>
          <t>Manual (registered, skipped)</t>
        </is>
      </c>
      <c r="H498" s="7" t="inlineStr">
        <is>
          <t>tests/scenarios/end-to-end.spec.ts</t>
        </is>
      </c>
      <c r="I498" s="8" t="inlineStr">
        <is>
          <t>Skipped</t>
        </is>
      </c>
      <c r="J498" s="8" t="n"/>
      <c r="K498" s="7" t="inlineStr">
        <is>
          <t>Manual: creates or changes CRM records; the automated suite only reads QA data. Run manually, or approve test-data writes on QA first</t>
        </is>
      </c>
    </row>
    <row r="499">
      <c r="A499" s="7" t="inlineStr">
        <is>
          <t>RA-127</t>
        </is>
      </c>
      <c r="B499" s="7" t="inlineStr">
        <is>
          <t>Create/update a lead and verify the change in Lead Reports and Executive Snapshot where applicable.</t>
        </is>
      </c>
      <c r="C499" s="7" t="inlineStr">
        <is>
          <t>Scenarios workbook</t>
        </is>
      </c>
      <c r="D499" s="7" t="inlineStr">
        <is>
          <t>Business scenarios (all pages)</t>
        </is>
      </c>
      <c r="E499" s="8" t="inlineStr">
        <is>
          <t>REQ-SC-17</t>
        </is>
      </c>
      <c r="F499" s="8" t="inlineStr">
        <is>
          <t>Medium</t>
        </is>
      </c>
      <c r="G499" s="7" t="inlineStr">
        <is>
          <t>Manual (registered, skipped)</t>
        </is>
      </c>
      <c r="H499" s="7" t="inlineStr">
        <is>
          <t>tests/scenarios/end-to-end.spec.ts</t>
        </is>
      </c>
      <c r="I499" s="8" t="inlineStr">
        <is>
          <t>Skipped</t>
        </is>
      </c>
      <c r="J499" s="8" t="n"/>
      <c r="K499" s="7" t="inlineStr">
        <is>
          <t>Manual: creates or changes CRM records; the automated suite only reads QA data. Run manually, or approve test-data writes on QA first</t>
        </is>
      </c>
    </row>
    <row r="500">
      <c r="A500" s="7" t="inlineStr">
        <is>
          <t>RA-128</t>
        </is>
      </c>
      <c r="B500" s="7" t="inlineStr">
        <is>
          <t>Create/update an opportunity and verify Sales Reports, Pipeline Value and Weighted Pipeline.</t>
        </is>
      </c>
      <c r="C500" s="7" t="inlineStr">
        <is>
          <t>Scenarios workbook</t>
        </is>
      </c>
      <c r="D500" s="7" t="inlineStr">
        <is>
          <t>Business scenarios (all pages)</t>
        </is>
      </c>
      <c r="E500" s="8" t="inlineStr">
        <is>
          <t>REQ-SC-17</t>
        </is>
      </c>
      <c r="F500" s="8" t="inlineStr">
        <is>
          <t>Medium</t>
        </is>
      </c>
      <c r="G500" s="7" t="inlineStr">
        <is>
          <t>Manual (registered, skipped)</t>
        </is>
      </c>
      <c r="H500" s="7" t="inlineStr">
        <is>
          <t>tests/scenarios/end-to-end.spec.ts</t>
        </is>
      </c>
      <c r="I500" s="8" t="inlineStr">
        <is>
          <t>Skipped</t>
        </is>
      </c>
      <c r="J500" s="8" t="n"/>
      <c r="K500" s="7" t="inlineStr">
        <is>
          <t>Manual: creates or changes CRM records; the automated suite only reads QA data. Run manually, or approve test-data writes on QA first</t>
        </is>
      </c>
    </row>
    <row r="501">
      <c r="A501" s="7" t="inlineStr">
        <is>
          <t>RA-129</t>
        </is>
      </c>
      <c r="B501" s="7" t="inlineStr">
        <is>
          <t>Reserve a unit and verify Inventory Reports and Units Reserved.</t>
        </is>
      </c>
      <c r="C501" s="7" t="inlineStr">
        <is>
          <t>Scenarios workbook</t>
        </is>
      </c>
      <c r="D501" s="7" t="inlineStr">
        <is>
          <t>Business scenarios (all pages)</t>
        </is>
      </c>
      <c r="E501" s="8" t="inlineStr">
        <is>
          <t>REQ-SC-17</t>
        </is>
      </c>
      <c r="F501" s="8" t="inlineStr">
        <is>
          <t>Medium</t>
        </is>
      </c>
      <c r="G501" s="7" t="inlineStr">
        <is>
          <t>Manual (registered, skipped)</t>
        </is>
      </c>
      <c r="H501" s="7" t="inlineStr">
        <is>
          <t>tests/scenarios/end-to-end.spec.ts</t>
        </is>
      </c>
      <c r="I501" s="8" t="inlineStr">
        <is>
          <t>Skipped</t>
        </is>
      </c>
      <c r="J501" s="8" t="n"/>
      <c r="K501" s="7" t="inlineStr">
        <is>
          <t>Manual: creates or changes CRM records; the automated suite only reads QA data. Run manually, or approve test-data writes on QA first</t>
        </is>
      </c>
    </row>
    <row r="502">
      <c r="A502" s="7" t="inlineStr">
        <is>
          <t>RA-130</t>
        </is>
      </c>
      <c r="B502" s="7" t="inlineStr">
        <is>
          <t>Complete an SPA and verify SPA Reports, Units Sold and SPA Value Signed where applicable.</t>
        </is>
      </c>
      <c r="C502" s="7" t="inlineStr">
        <is>
          <t>Scenarios workbook</t>
        </is>
      </c>
      <c r="D502" s="7" t="inlineStr">
        <is>
          <t>Business scenarios (all pages)</t>
        </is>
      </c>
      <c r="E502" s="8" t="inlineStr">
        <is>
          <t>REQ-SC-17</t>
        </is>
      </c>
      <c r="F502" s="8" t="inlineStr">
        <is>
          <t>Medium</t>
        </is>
      </c>
      <c r="G502" s="7" t="inlineStr">
        <is>
          <t>Manual (registered, skipped)</t>
        </is>
      </c>
      <c r="H502" s="7" t="inlineStr">
        <is>
          <t>tests/scenarios/end-to-end.spec.ts</t>
        </is>
      </c>
      <c r="I502" s="8" t="inlineStr">
        <is>
          <t>Skipped</t>
        </is>
      </c>
      <c r="J502" s="8" t="n"/>
      <c r="K502" s="7" t="inlineStr">
        <is>
          <t>Manual: creates or changes CRM records; the automated suite only reads QA data. Run manually, or approve test-data writes on QA first</t>
        </is>
      </c>
    </row>
    <row r="503">
      <c r="A503" s="7" t="inlineStr">
        <is>
          <t>RA-131</t>
        </is>
      </c>
      <c r="B503" s="7" t="inlineStr">
        <is>
          <t>Apply a filter and verify KPI values and the corresponding filtered report data.</t>
        </is>
      </c>
      <c r="C503" s="7" t="inlineStr">
        <is>
          <t>Scenarios workbook</t>
        </is>
      </c>
      <c r="D503" s="7" t="inlineStr">
        <is>
          <t>Business scenarios (all pages)</t>
        </is>
      </c>
      <c r="E503" s="8" t="inlineStr">
        <is>
          <t>REQ-SC-17</t>
        </is>
      </c>
      <c r="F503" s="8" t="inlineStr">
        <is>
          <t>Medium</t>
        </is>
      </c>
      <c r="G503" s="7" t="inlineStr">
        <is>
          <t>Yes</t>
        </is>
      </c>
      <c r="H503" s="7" t="inlineStr">
        <is>
          <t>tests/scenarios/end-to-end.spec.ts</t>
        </is>
      </c>
      <c r="I503" s="8" t="inlineStr">
        <is>
          <t>Pass</t>
        </is>
      </c>
      <c r="J503" s="8" t="n"/>
      <c r="K503" s="7" t="n"/>
    </row>
    <row r="504">
      <c r="A504" s="7" t="inlineStr">
        <is>
          <t>RA-132</t>
        </is>
      </c>
      <c r="B504" s="7" t="inlineStr">
        <is>
          <t>Select a custom date range and verify Executive Snapshot, report modules and exported data.</t>
        </is>
      </c>
      <c r="C504" s="7" t="inlineStr">
        <is>
          <t>Scenarios workbook</t>
        </is>
      </c>
      <c r="D504" s="7" t="inlineStr">
        <is>
          <t>Business scenarios (all pages)</t>
        </is>
      </c>
      <c r="E504" s="8" t="inlineStr">
        <is>
          <t>REQ-SC-17</t>
        </is>
      </c>
      <c r="F504" s="8" t="inlineStr">
        <is>
          <t>Medium</t>
        </is>
      </c>
      <c r="G504" s="7" t="inlineStr">
        <is>
          <t>Yes</t>
        </is>
      </c>
      <c r="H504" s="7" t="inlineStr">
        <is>
          <t>tests/scenarios/end-to-end.spec.ts</t>
        </is>
      </c>
      <c r="I504" s="8" t="inlineStr">
        <is>
          <t>Pass</t>
        </is>
      </c>
      <c r="J504" s="8" t="n"/>
      <c r="K504" s="7" t="n"/>
    </row>
    <row r="505">
      <c r="A505" s="7" t="inlineStr">
        <is>
          <t>RA-133</t>
        </is>
      </c>
      <c r="B505" s="7" t="inlineStr">
        <is>
          <t>Log in with different roles and verify the reports, records and data available to each user.</t>
        </is>
      </c>
      <c r="C505" s="7" t="inlineStr">
        <is>
          <t>Scenarios workbook</t>
        </is>
      </c>
      <c r="D505" s="7" t="inlineStr">
        <is>
          <t>Business scenarios (all pages)</t>
        </is>
      </c>
      <c r="E505" s="8" t="inlineStr">
        <is>
          <t>REQ-SC-17</t>
        </is>
      </c>
      <c r="F505" s="8" t="inlineStr">
        <is>
          <t>Medium</t>
        </is>
      </c>
      <c r="G505" s="7" t="inlineStr">
        <is>
          <t>Manual (registered, skipped)</t>
        </is>
      </c>
      <c r="H505" s="7" t="inlineStr">
        <is>
          <t>tests/scenarios/end-to-end.spec.ts</t>
        </is>
      </c>
      <c r="I505" s="8" t="inlineStr">
        <is>
          <t>Skipped</t>
        </is>
      </c>
      <c r="J505" s="8" t="n"/>
      <c r="K505" s="7" t="inlineStr">
        <is>
          <t>Manual: needs login details for each role (only an administrator account is configured)</t>
        </is>
      </c>
    </row>
    <row r="506">
      <c r="A506" s="7" t="inlineStr">
        <is>
          <t>RA-001</t>
        </is>
      </c>
      <c r="B506" s="7" t="inlineStr">
        <is>
          <t>Verify Active Leads count is displayed correctly.</t>
        </is>
      </c>
      <c r="C506" s="7" t="inlineStr">
        <is>
          <t>Scenarios workbook</t>
        </is>
      </c>
      <c r="D506" s="7" t="inlineStr">
        <is>
          <t>Business scenarios (all pages)</t>
        </is>
      </c>
      <c r="E506" s="8" t="inlineStr">
        <is>
          <t>REQ-SC-01</t>
        </is>
      </c>
      <c r="F506" s="8" t="inlineStr">
        <is>
          <t>Medium</t>
        </is>
      </c>
      <c r="G506" s="7" t="inlineStr">
        <is>
          <t>Yes</t>
        </is>
      </c>
      <c r="H506" s="7" t="inlineStr">
        <is>
          <t>tests/scenarios/kpi-period.spec.ts</t>
        </is>
      </c>
      <c r="I506" s="8" t="inlineStr">
        <is>
          <t>Pass</t>
        </is>
      </c>
      <c r="J506" s="8" t="n"/>
      <c r="K506" s="7" t="n"/>
    </row>
    <row r="507">
      <c r="A507" s="7" t="inlineStr">
        <is>
          <t>RA-002</t>
        </is>
      </c>
      <c r="B507" s="7" t="inlineStr">
        <is>
          <t>Verify Open Opportunities count is displayed correctly.</t>
        </is>
      </c>
      <c r="C507" s="7" t="inlineStr">
        <is>
          <t>Scenarios workbook</t>
        </is>
      </c>
      <c r="D507" s="7" t="inlineStr">
        <is>
          <t>Business scenarios (all pages)</t>
        </is>
      </c>
      <c r="E507" s="8" t="inlineStr">
        <is>
          <t>REQ-SC-01</t>
        </is>
      </c>
      <c r="F507" s="8" t="inlineStr">
        <is>
          <t>Medium</t>
        </is>
      </c>
      <c r="G507" s="7" t="inlineStr">
        <is>
          <t>Yes</t>
        </is>
      </c>
      <c r="H507" s="7" t="inlineStr">
        <is>
          <t>tests/scenarios/kpi-period.spec.ts</t>
        </is>
      </c>
      <c r="I507" s="8" t="inlineStr">
        <is>
          <t>Fail</t>
        </is>
      </c>
      <c r="J507" s="8" t="inlineStr">
        <is>
          <t>DEF-02</t>
        </is>
      </c>
      <c r="K507" s="7" t="inlineStr">
        <is>
          <t>Error: Hub Open Opportunities vs /reports/sales Open opportunities: 43 vs 39</t>
        </is>
      </c>
    </row>
    <row r="508">
      <c r="A508" s="7" t="inlineStr">
        <is>
          <t>RA-003</t>
        </is>
      </c>
      <c r="B508" s="7" t="inlineStr">
        <is>
          <t>Verify Units Available count is displayed correctly.</t>
        </is>
      </c>
      <c r="C508" s="7" t="inlineStr">
        <is>
          <t>Scenarios workbook</t>
        </is>
      </c>
      <c r="D508" s="7" t="inlineStr">
        <is>
          <t>Business scenarios (all pages)</t>
        </is>
      </c>
      <c r="E508" s="8" t="inlineStr">
        <is>
          <t>REQ-SC-01</t>
        </is>
      </c>
      <c r="F508" s="8" t="inlineStr">
        <is>
          <t>Medium</t>
        </is>
      </c>
      <c r="G508" s="7" t="inlineStr">
        <is>
          <t>Yes</t>
        </is>
      </c>
      <c r="H508" s="7" t="inlineStr">
        <is>
          <t>tests/scenarios/kpi-period.spec.ts</t>
        </is>
      </c>
      <c r="I508" s="8" t="inlineStr">
        <is>
          <t>Pass</t>
        </is>
      </c>
      <c r="J508" s="8" t="n"/>
      <c r="K508" s="7" t="n"/>
    </row>
    <row r="509">
      <c r="A509" s="7" t="inlineStr">
        <is>
          <t>RA-004</t>
        </is>
      </c>
      <c r="B509" s="7" t="inlineStr">
        <is>
          <t>Verify Units Reserved count is displayed correctly.</t>
        </is>
      </c>
      <c r="C509" s="7" t="inlineStr">
        <is>
          <t>Scenarios workbook</t>
        </is>
      </c>
      <c r="D509" s="7" t="inlineStr">
        <is>
          <t>Business scenarios (all pages)</t>
        </is>
      </c>
      <c r="E509" s="8" t="inlineStr">
        <is>
          <t>REQ-SC-01</t>
        </is>
      </c>
      <c r="F509" s="8" t="inlineStr">
        <is>
          <t>Medium</t>
        </is>
      </c>
      <c r="G509" s="7" t="inlineStr">
        <is>
          <t>Yes</t>
        </is>
      </c>
      <c r="H509" s="7" t="inlineStr">
        <is>
          <t>tests/scenarios/kpi-period.spec.ts</t>
        </is>
      </c>
      <c r="I509" s="8" t="inlineStr">
        <is>
          <t>Pass</t>
        </is>
      </c>
      <c r="J509" s="8" t="inlineStr">
        <is>
          <t>DEF-04</t>
        </is>
      </c>
      <c r="K509" s="7" t="n"/>
    </row>
    <row r="510">
      <c r="A510" s="7" t="inlineStr">
        <is>
          <t>RA-005</t>
        </is>
      </c>
      <c r="B510" s="7" t="inlineStr">
        <is>
          <t>Verify Units Sold count is displayed correctly.</t>
        </is>
      </c>
      <c r="C510" s="7" t="inlineStr">
        <is>
          <t>Scenarios workbook</t>
        </is>
      </c>
      <c r="D510" s="7" t="inlineStr">
        <is>
          <t>Business scenarios (all pages)</t>
        </is>
      </c>
      <c r="E510" s="8" t="inlineStr">
        <is>
          <t>REQ-SC-01</t>
        </is>
      </c>
      <c r="F510" s="8" t="inlineStr">
        <is>
          <t>Medium</t>
        </is>
      </c>
      <c r="G510" s="7" t="inlineStr">
        <is>
          <t>Yes</t>
        </is>
      </c>
      <c r="H510" s="7" t="inlineStr">
        <is>
          <t>tests/scenarios/kpi-period.spec.ts</t>
        </is>
      </c>
      <c r="I510" s="8" t="inlineStr">
        <is>
          <t>Pass</t>
        </is>
      </c>
      <c r="J510" s="8" t="inlineStr">
        <is>
          <t>DEF-04</t>
        </is>
      </c>
      <c r="K510" s="7" t="n"/>
    </row>
    <row r="511">
      <c r="A511" s="7" t="inlineStr">
        <is>
          <t>RA-006</t>
        </is>
      </c>
      <c r="B511" s="7" t="inlineStr">
        <is>
          <t>Verify Pipeline Value is calculated and displayed correctly.</t>
        </is>
      </c>
      <c r="C511" s="7" t="inlineStr">
        <is>
          <t>Scenarios workbook</t>
        </is>
      </c>
      <c r="D511" s="7" t="inlineStr">
        <is>
          <t>Business scenarios (all pages)</t>
        </is>
      </c>
      <c r="E511" s="8" t="inlineStr">
        <is>
          <t>REQ-SC-01</t>
        </is>
      </c>
      <c r="F511" s="8" t="inlineStr">
        <is>
          <t>Medium</t>
        </is>
      </c>
      <c r="G511" s="7" t="inlineStr">
        <is>
          <t>Yes</t>
        </is>
      </c>
      <c r="H511" s="7" t="inlineStr">
        <is>
          <t>tests/scenarios/kpi-period.spec.ts</t>
        </is>
      </c>
      <c r="I511" s="8" t="inlineStr">
        <is>
          <t>Fail</t>
        </is>
      </c>
      <c r="J511" s="8" t="inlineStr">
        <is>
          <t>DEF-03</t>
        </is>
      </c>
      <c r="K511" s="7" t="inlineStr">
        <is>
          <t>Error: Hub Pipeline Value vs /reports/sales Pipeline value: 178940000 vs 2170000000</t>
        </is>
      </c>
    </row>
    <row r="512">
      <c r="A512" s="7" t="inlineStr">
        <is>
          <t>RA-007</t>
        </is>
      </c>
      <c r="B512" s="7" t="inlineStr">
        <is>
          <t>Verify Weighted Pipeline is calculated correctly based on opportunity probability.</t>
        </is>
      </c>
      <c r="C512" s="7" t="inlineStr">
        <is>
          <t>Scenarios workbook</t>
        </is>
      </c>
      <c r="D512" s="7" t="inlineStr">
        <is>
          <t>Business scenarios (all pages)</t>
        </is>
      </c>
      <c r="E512" s="8" t="inlineStr">
        <is>
          <t>REQ-SC-01</t>
        </is>
      </c>
      <c r="F512" s="8" t="inlineStr">
        <is>
          <t>Medium</t>
        </is>
      </c>
      <c r="G512" s="7" t="inlineStr">
        <is>
          <t>Yes</t>
        </is>
      </c>
      <c r="H512" s="7" t="inlineStr">
        <is>
          <t>tests/scenarios/kpi-period.spec.ts</t>
        </is>
      </c>
      <c r="I512" s="8" t="inlineStr">
        <is>
          <t>Fail</t>
        </is>
      </c>
      <c r="J512" s="8" t="inlineStr">
        <is>
          <t>DEF-03</t>
        </is>
      </c>
      <c r="K512" s="7" t="inlineStr">
        <is>
          <t>Error: Hub Weighted Pipeline vs /reports/sales Weighted pipeline: 0 vs 1650000000</t>
        </is>
      </c>
    </row>
    <row r="513">
      <c r="A513" s="7" t="inlineStr">
        <is>
          <t>RA-008</t>
        </is>
      </c>
      <c r="B513" s="7" t="inlineStr">
        <is>
          <t>Verify SPA Value Signed is calculated correctly for the selected period.</t>
        </is>
      </c>
      <c r="C513" s="7" t="inlineStr">
        <is>
          <t>Scenarios workbook</t>
        </is>
      </c>
      <c r="D513" s="7" t="inlineStr">
        <is>
          <t>Business scenarios (all pages)</t>
        </is>
      </c>
      <c r="E513" s="8" t="inlineStr">
        <is>
          <t>REQ-SC-01</t>
        </is>
      </c>
      <c r="F513" s="8" t="inlineStr">
        <is>
          <t>Medium</t>
        </is>
      </c>
      <c r="G513" s="7" t="inlineStr">
        <is>
          <t>Yes</t>
        </is>
      </c>
      <c r="H513" s="7" t="inlineStr">
        <is>
          <t>tests/scenarios/kpi-period.spec.ts</t>
        </is>
      </c>
      <c r="I513" s="8" t="inlineStr">
        <is>
          <t>Pass</t>
        </is>
      </c>
      <c r="J513" s="8" t="n"/>
      <c r="K513" s="7" t="n"/>
    </row>
    <row r="514">
      <c r="A514" s="7" t="inlineStr">
        <is>
          <t>RA-009</t>
        </is>
      </c>
      <c r="B514" s="7" t="inlineStr">
        <is>
          <t>Verify all KPI values are consistent with the underlying API response.</t>
        </is>
      </c>
      <c r="C514" s="7" t="inlineStr">
        <is>
          <t>Scenarios workbook</t>
        </is>
      </c>
      <c r="D514" s="7" t="inlineStr">
        <is>
          <t>Business scenarios (all pages)</t>
        </is>
      </c>
      <c r="E514" s="8" t="inlineStr">
        <is>
          <t>REQ-SC-01</t>
        </is>
      </c>
      <c r="F514" s="8" t="inlineStr">
        <is>
          <t>Medium</t>
        </is>
      </c>
      <c r="G514" s="7" t="inlineStr">
        <is>
          <t>Yes</t>
        </is>
      </c>
      <c r="H514" s="7" t="inlineStr">
        <is>
          <t>tests/scenarios/kpi-period.spec.ts</t>
        </is>
      </c>
      <c r="I514" s="8" t="inlineStr">
        <is>
          <t>Pass</t>
        </is>
      </c>
      <c r="J514" s="8" t="n"/>
      <c r="K514" s="7" t="n"/>
    </row>
    <row r="515">
      <c r="A515" s="7" t="inlineStr">
        <is>
          <t>RA-010</t>
        </is>
      </c>
      <c r="B515" s="7" t="inlineStr">
        <is>
          <t>Verify KPI values match the database, where database access is available.</t>
        </is>
      </c>
      <c r="C515" s="7" t="inlineStr">
        <is>
          <t>Scenarios workbook</t>
        </is>
      </c>
      <c r="D515" s="7" t="inlineStr">
        <is>
          <t>Business scenarios (all pages)</t>
        </is>
      </c>
      <c r="E515" s="8" t="inlineStr">
        <is>
          <t>REQ-SC-01</t>
        </is>
      </c>
      <c r="F515" s="8" t="inlineStr">
        <is>
          <t>Medium</t>
        </is>
      </c>
      <c r="G515" s="7" t="inlineStr">
        <is>
          <t>Yes</t>
        </is>
      </c>
      <c r="H515" s="7" t="inlineStr">
        <is>
          <t>tests/scenarios/kpi-period.spec.ts</t>
        </is>
      </c>
      <c r="I515" s="8" t="inlineStr">
        <is>
          <t>Skipped</t>
        </is>
      </c>
      <c r="J515" s="8" t="n"/>
      <c r="K515" s="7" t="inlineStr">
        <is>
          <t>Database tests off (SKIP_DB_TESTS=true) or not configured — see .env</t>
        </is>
      </c>
    </row>
    <row r="516">
      <c r="A516" s="7" t="inlineStr">
        <is>
          <t>RA-011</t>
        </is>
      </c>
      <c r="B516" s="7" t="inlineStr">
        <is>
          <t>Verify monetary values are displayed in the correct currency and format.</t>
        </is>
      </c>
      <c r="C516" s="7" t="inlineStr">
        <is>
          <t>Scenarios workbook</t>
        </is>
      </c>
      <c r="D516" s="7" t="inlineStr">
        <is>
          <t>Business scenarios (all pages)</t>
        </is>
      </c>
      <c r="E516" s="8" t="inlineStr">
        <is>
          <t>REQ-SC-01</t>
        </is>
      </c>
      <c r="F516" s="8" t="inlineStr">
        <is>
          <t>Medium</t>
        </is>
      </c>
      <c r="G516" s="7" t="inlineStr">
        <is>
          <t>Yes</t>
        </is>
      </c>
      <c r="H516" s="7" t="inlineStr">
        <is>
          <t>tests/scenarios/kpi-period.spec.ts</t>
        </is>
      </c>
      <c r="I516" s="8" t="inlineStr">
        <is>
          <t>Pass</t>
        </is>
      </c>
      <c r="J516" s="8" t="n"/>
      <c r="K516" s="7" t="n"/>
    </row>
    <row r="517">
      <c r="A517" s="7" t="inlineStr">
        <is>
          <t>RA-012</t>
        </is>
      </c>
      <c r="B517" s="7" t="inlineStr">
        <is>
          <t>Verify KPI values update when the reporting period or applicable filters are changed.</t>
        </is>
      </c>
      <c r="C517" s="7" t="inlineStr">
        <is>
          <t>Scenarios workbook</t>
        </is>
      </c>
      <c r="D517" s="7" t="inlineStr">
        <is>
          <t>Business scenarios (all pages)</t>
        </is>
      </c>
      <c r="E517" s="8" t="inlineStr">
        <is>
          <t>REQ-SC-01</t>
        </is>
      </c>
      <c r="F517" s="8" t="inlineStr">
        <is>
          <t>Medium</t>
        </is>
      </c>
      <c r="G517" s="7" t="inlineStr">
        <is>
          <t>Yes</t>
        </is>
      </c>
      <c r="H517" s="7" t="inlineStr">
        <is>
          <t>tests/scenarios/kpi-period.spec.ts</t>
        </is>
      </c>
      <c r="I517" s="8" t="inlineStr">
        <is>
          <t>Pass</t>
        </is>
      </c>
      <c r="J517" s="8" t="n"/>
      <c r="K517" s="7" t="n"/>
    </row>
    <row r="518">
      <c r="A518" s="7" t="inlineStr">
        <is>
          <t>RA-013</t>
        </is>
      </c>
      <c r="B518" s="7" t="inlineStr">
        <is>
          <t>Verify the default reporting period is This Month.</t>
        </is>
      </c>
      <c r="C518" s="7" t="inlineStr">
        <is>
          <t>Scenarios workbook</t>
        </is>
      </c>
      <c r="D518" s="7" t="inlineStr">
        <is>
          <t>Business scenarios (all pages)</t>
        </is>
      </c>
      <c r="E518" s="8" t="inlineStr">
        <is>
          <t>REQ-SC-02</t>
        </is>
      </c>
      <c r="F518" s="8" t="inlineStr">
        <is>
          <t>Medium</t>
        </is>
      </c>
      <c r="G518" s="7" t="inlineStr">
        <is>
          <t>Yes</t>
        </is>
      </c>
      <c r="H518" s="7" t="inlineStr">
        <is>
          <t>tests/scenarios/kpi-period.spec.ts</t>
        </is>
      </c>
      <c r="I518" s="8" t="inlineStr">
        <is>
          <t>Fail</t>
        </is>
      </c>
      <c r="J518" s="8" t="inlineStr">
        <is>
          <t>DEF-01</t>
        </is>
      </c>
      <c r="K518" s="7" t="inlineStr">
        <is>
          <t>Error: Lead Reports default period</t>
        </is>
      </c>
    </row>
    <row r="519">
      <c r="A519" s="7" t="inlineStr">
        <is>
          <t>RA-014</t>
        </is>
      </c>
      <c r="B519" s="7" t="inlineStr">
        <is>
          <t>Verify the Last Month period.</t>
        </is>
      </c>
      <c r="C519" s="7" t="inlineStr">
        <is>
          <t>Scenarios workbook</t>
        </is>
      </c>
      <c r="D519" s="7" t="inlineStr">
        <is>
          <t>Business scenarios (all pages)</t>
        </is>
      </c>
      <c r="E519" s="8" t="inlineStr">
        <is>
          <t>REQ-SC-02</t>
        </is>
      </c>
      <c r="F519" s="8" t="inlineStr">
        <is>
          <t>Medium</t>
        </is>
      </c>
      <c r="G519" s="7" t="inlineStr">
        <is>
          <t>Yes</t>
        </is>
      </c>
      <c r="H519" s="7" t="inlineStr">
        <is>
          <t>tests/scenarios/kpi-period.spec.ts</t>
        </is>
      </c>
      <c r="I519" s="8" t="inlineStr">
        <is>
          <t>Pass</t>
        </is>
      </c>
      <c r="J519" s="8" t="n"/>
      <c r="K519" s="7" t="n"/>
    </row>
    <row r="520">
      <c r="A520" s="7" t="inlineStr">
        <is>
          <t>RA-015</t>
        </is>
      </c>
      <c r="B520" s="7" t="inlineStr">
        <is>
          <t>Verify selection of a custom date range.</t>
        </is>
      </c>
      <c r="C520" s="7" t="inlineStr">
        <is>
          <t>Scenarios workbook</t>
        </is>
      </c>
      <c r="D520" s="7" t="inlineStr">
        <is>
          <t>Business scenarios (all pages)</t>
        </is>
      </c>
      <c r="E520" s="8" t="inlineStr">
        <is>
          <t>REQ-SC-02</t>
        </is>
      </c>
      <c r="F520" s="8" t="inlineStr">
        <is>
          <t>Medium</t>
        </is>
      </c>
      <c r="G520" s="7" t="inlineStr">
        <is>
          <t>Yes</t>
        </is>
      </c>
      <c r="H520" s="7" t="inlineStr">
        <is>
          <t>tests/scenarios/kpi-period.spec.ts</t>
        </is>
      </c>
      <c r="I520" s="8" t="inlineStr">
        <is>
          <t>Pass</t>
        </is>
      </c>
      <c r="J520" s="8" t="n"/>
      <c r="K520" s="7" t="n"/>
    </row>
    <row r="521">
      <c r="A521" s="7" t="inlineStr">
        <is>
          <t>RA-016</t>
        </is>
      </c>
      <c r="B521" s="7" t="inlineStr">
        <is>
          <t>Verify start-date and end-date validation.</t>
        </is>
      </c>
      <c r="C521" s="7" t="inlineStr">
        <is>
          <t>Scenarios workbook</t>
        </is>
      </c>
      <c r="D521" s="7" t="inlineStr">
        <is>
          <t>Business scenarios (all pages)</t>
        </is>
      </c>
      <c r="E521" s="8" t="inlineStr">
        <is>
          <t>REQ-SC-02</t>
        </is>
      </c>
      <c r="F521" s="8" t="inlineStr">
        <is>
          <t>Medium</t>
        </is>
      </c>
      <c r="G521" s="7" t="inlineStr">
        <is>
          <t>Yes</t>
        </is>
      </c>
      <c r="H521" s="7" t="inlineStr">
        <is>
          <t>tests/scenarios/kpi-period.spec.ts</t>
        </is>
      </c>
      <c r="I521" s="8" t="inlineStr">
        <is>
          <t>Pass</t>
        </is>
      </c>
      <c r="J521" s="8" t="n"/>
      <c r="K521" s="7" t="n"/>
    </row>
    <row r="522">
      <c r="A522" s="7" t="inlineStr">
        <is>
          <t>RA-017</t>
        </is>
      </c>
      <c r="B522" s="7" t="inlineStr">
        <is>
          <t>Verify reports return the correct data for the selected period.</t>
        </is>
      </c>
      <c r="C522" s="7" t="inlineStr">
        <is>
          <t>Scenarios workbook</t>
        </is>
      </c>
      <c r="D522" s="7" t="inlineStr">
        <is>
          <t>Business scenarios (all pages)</t>
        </is>
      </c>
      <c r="E522" s="8" t="inlineStr">
        <is>
          <t>REQ-SC-02</t>
        </is>
      </c>
      <c r="F522" s="8" t="inlineStr">
        <is>
          <t>Medium</t>
        </is>
      </c>
      <c r="G522" s="7" t="inlineStr">
        <is>
          <t>Yes</t>
        </is>
      </c>
      <c r="H522" s="7" t="inlineStr">
        <is>
          <t>tests/scenarios/kpi-period.spec.ts</t>
        </is>
      </c>
      <c r="I522" s="8" t="inlineStr">
        <is>
          <t>Pass</t>
        </is>
      </c>
      <c r="J522" s="8" t="n"/>
      <c r="K522" s="7" t="n"/>
    </row>
    <row r="523">
      <c r="A523" s="7" t="inlineStr">
        <is>
          <t>RA-018</t>
        </is>
      </c>
      <c r="B523" s="7" t="inlineStr">
        <is>
          <t>Verify changing the reporting period updates all applicable KPIs and reports consistently.</t>
        </is>
      </c>
      <c r="C523" s="7" t="inlineStr">
        <is>
          <t>Scenarios workbook</t>
        </is>
      </c>
      <c r="D523" s="7" t="inlineStr">
        <is>
          <t>Business scenarios (all pages)</t>
        </is>
      </c>
      <c r="E523" s="8" t="inlineStr">
        <is>
          <t>REQ-SC-02</t>
        </is>
      </c>
      <c r="F523" s="8" t="inlineStr">
        <is>
          <t>Medium</t>
        </is>
      </c>
      <c r="G523" s="7" t="inlineStr">
        <is>
          <t>Yes</t>
        </is>
      </c>
      <c r="H523" s="7" t="inlineStr">
        <is>
          <t>tests/scenarios/kpi-period.spec.ts</t>
        </is>
      </c>
      <c r="I523" s="8" t="inlineStr">
        <is>
          <t>Fail</t>
        </is>
      </c>
      <c r="J523" s="8" t="inlineStr">
        <is>
          <t>DEF-08</t>
        </is>
      </c>
      <c r="K523" s="7" t="inlineStr">
        <is>
          <t>Error: last_month: /reports/customers "SPA value" 149910000 vs /reports/spa "Signed value" 3980000</t>
        </is>
      </c>
    </row>
    <row r="524">
      <c r="A524" s="7" t="inlineStr">
        <is>
          <t>RA-032</t>
        </is>
      </c>
      <c r="B524" s="7" t="inlineStr">
        <is>
          <t>Verify Lead Report tabs.</t>
        </is>
      </c>
      <c r="C524" s="7" t="inlineStr">
        <is>
          <t>Scenarios workbook</t>
        </is>
      </c>
      <c r="D524" s="7" t="inlineStr">
        <is>
          <t>Business scenarios (all pages)</t>
        </is>
      </c>
      <c r="E524" s="8" t="inlineStr">
        <is>
          <t>REQ-SC-04</t>
        </is>
      </c>
      <c r="F524" s="8" t="inlineStr">
        <is>
          <t>Medium</t>
        </is>
      </c>
      <c r="G524" s="7" t="inlineStr">
        <is>
          <t>Yes</t>
        </is>
      </c>
      <c r="H524" s="7" t="inlineStr">
        <is>
          <t>tests/scenarios/lead-reports.spec.ts</t>
        </is>
      </c>
      <c r="I524" s="8" t="inlineStr">
        <is>
          <t>Pass</t>
        </is>
      </c>
      <c r="J524" s="8" t="n"/>
      <c r="K524" s="7" t="n"/>
    </row>
    <row r="525">
      <c r="A525" s="7" t="inlineStr">
        <is>
          <t>RA-033</t>
        </is>
      </c>
      <c r="B525" s="7" t="inlineStr">
        <is>
          <t>Verify filtering by lead status.</t>
        </is>
      </c>
      <c r="C525" s="7" t="inlineStr">
        <is>
          <t>Scenarios workbook</t>
        </is>
      </c>
      <c r="D525" s="7" t="inlineStr">
        <is>
          <t>Business scenarios (all pages)</t>
        </is>
      </c>
      <c r="E525" s="8" t="inlineStr">
        <is>
          <t>REQ-SC-04</t>
        </is>
      </c>
      <c r="F525" s="8" t="inlineStr">
        <is>
          <t>Medium</t>
        </is>
      </c>
      <c r="G525" s="7" t="inlineStr">
        <is>
          <t>Yes</t>
        </is>
      </c>
      <c r="H525" s="7" t="inlineStr">
        <is>
          <t>tests/scenarios/lead-reports.spec.ts</t>
        </is>
      </c>
      <c r="I525" s="8" t="inlineStr">
        <is>
          <t>Pass</t>
        </is>
      </c>
      <c r="J525" s="8" t="n"/>
      <c r="K525" s="7" t="n"/>
    </row>
    <row r="526">
      <c r="A526" s="7" t="inlineStr">
        <is>
          <t>RA-034</t>
        </is>
      </c>
      <c r="B526" s="7" t="inlineStr">
        <is>
          <t>Verify Individual lead filter.</t>
        </is>
      </c>
      <c r="C526" s="7" t="inlineStr">
        <is>
          <t>Scenarios workbook</t>
        </is>
      </c>
      <c r="D526" s="7" t="inlineStr">
        <is>
          <t>Business scenarios (all pages)</t>
        </is>
      </c>
      <c r="E526" s="8" t="inlineStr">
        <is>
          <t>REQ-SC-04</t>
        </is>
      </c>
      <c r="F526" s="8" t="inlineStr">
        <is>
          <t>Medium</t>
        </is>
      </c>
      <c r="G526" s="7" t="inlineStr">
        <is>
          <t>Yes</t>
        </is>
      </c>
      <c r="H526" s="7" t="inlineStr">
        <is>
          <t>tests/scenarios/lead-reports.spec.ts</t>
        </is>
      </c>
      <c r="I526" s="8" t="inlineStr">
        <is>
          <t>Pass</t>
        </is>
      </c>
      <c r="J526" s="8" t="n"/>
      <c r="K526" s="7" t="n"/>
    </row>
    <row r="527">
      <c r="A527" s="7" t="inlineStr">
        <is>
          <t>RA-035</t>
        </is>
      </c>
      <c r="B527" s="7" t="inlineStr">
        <is>
          <t>Verify Corporate lead filter.</t>
        </is>
      </c>
      <c r="C527" s="7" t="inlineStr">
        <is>
          <t>Scenarios workbook</t>
        </is>
      </c>
      <c r="D527" s="7" t="inlineStr">
        <is>
          <t>Business scenarios (all pages)</t>
        </is>
      </c>
      <c r="E527" s="8" t="inlineStr">
        <is>
          <t>REQ-SC-04</t>
        </is>
      </c>
      <c r="F527" s="8" t="inlineStr">
        <is>
          <t>Medium</t>
        </is>
      </c>
      <c r="G527" s="7" t="inlineStr">
        <is>
          <t>Yes</t>
        </is>
      </c>
      <c r="H527" s="7" t="inlineStr">
        <is>
          <t>tests/scenarios/lead-reports.spec.ts</t>
        </is>
      </c>
      <c r="I527" s="8" t="inlineStr">
        <is>
          <t>Pass</t>
        </is>
      </c>
      <c r="J527" s="8" t="n"/>
      <c r="K527" s="7" t="n"/>
    </row>
    <row r="528">
      <c r="A528" s="7" t="inlineStr">
        <is>
          <t>RA-036</t>
        </is>
      </c>
      <c r="B528" s="7" t="inlineStr">
        <is>
          <t>Verify lead search functionality.</t>
        </is>
      </c>
      <c r="C528" s="7" t="inlineStr">
        <is>
          <t>Scenarios workbook</t>
        </is>
      </c>
      <c r="D528" s="7" t="inlineStr">
        <is>
          <t>Business scenarios (all pages)</t>
        </is>
      </c>
      <c r="E528" s="8" t="inlineStr">
        <is>
          <t>REQ-SC-04</t>
        </is>
      </c>
      <c r="F528" s="8" t="inlineStr">
        <is>
          <t>Medium</t>
        </is>
      </c>
      <c r="G528" s="7" t="inlineStr">
        <is>
          <t>Yes</t>
        </is>
      </c>
      <c r="H528" s="7" t="inlineStr">
        <is>
          <t>tests/scenarios/lead-reports.spec.ts</t>
        </is>
      </c>
      <c r="I528" s="8" t="inlineStr">
        <is>
          <t>Pass</t>
        </is>
      </c>
      <c r="J528" s="8" t="n"/>
      <c r="K528" s="7" t="n"/>
    </row>
    <row r="529">
      <c r="A529" s="7" t="inlineStr">
        <is>
          <t>RA-037</t>
        </is>
      </c>
      <c r="B529" s="7" t="inlineStr">
        <is>
          <t>Verify pagination.</t>
        </is>
      </c>
      <c r="C529" s="7" t="inlineStr">
        <is>
          <t>Scenarios workbook</t>
        </is>
      </c>
      <c r="D529" s="7" t="inlineStr">
        <is>
          <t>Business scenarios (all pages)</t>
        </is>
      </c>
      <c r="E529" s="8" t="inlineStr">
        <is>
          <t>REQ-SC-04</t>
        </is>
      </c>
      <c r="F529" s="8" t="inlineStr">
        <is>
          <t>Medium</t>
        </is>
      </c>
      <c r="G529" s="7" t="inlineStr">
        <is>
          <t>Yes</t>
        </is>
      </c>
      <c r="H529" s="7" t="inlineStr">
        <is>
          <t>tests/scenarios/lead-reports.spec.ts</t>
        </is>
      </c>
      <c r="I529" s="8" t="inlineStr">
        <is>
          <t>Pass</t>
        </is>
      </c>
      <c r="J529" s="8" t="n"/>
      <c r="K529" s="7" t="n"/>
    </row>
    <row r="530">
      <c r="A530" s="7" t="inlineStr">
        <is>
          <t>RA-038</t>
        </is>
      </c>
      <c r="B530" s="7" t="inlineStr">
        <is>
          <t>Verify first-page and subsequent-page records.</t>
        </is>
      </c>
      <c r="C530" s="7" t="inlineStr">
        <is>
          <t>Scenarios workbook</t>
        </is>
      </c>
      <c r="D530" s="7" t="inlineStr">
        <is>
          <t>Business scenarios (all pages)</t>
        </is>
      </c>
      <c r="E530" s="8" t="inlineStr">
        <is>
          <t>REQ-SC-04</t>
        </is>
      </c>
      <c r="F530" s="8" t="inlineStr">
        <is>
          <t>Medium</t>
        </is>
      </c>
      <c r="G530" s="7" t="inlineStr">
        <is>
          <t>Yes</t>
        </is>
      </c>
      <c r="H530" s="7" t="inlineStr">
        <is>
          <t>tests/scenarios/lead-reports.spec.ts</t>
        </is>
      </c>
      <c r="I530" s="8" t="inlineStr">
        <is>
          <t>Pass</t>
        </is>
      </c>
      <c r="J530" s="8" t="n"/>
      <c r="K530" s="7" t="n"/>
    </row>
    <row r="531">
      <c r="A531" s="7" t="inlineStr">
        <is>
          <t>RA-039</t>
        </is>
      </c>
      <c r="B531" s="7" t="inlineStr">
        <is>
          <t>Verify lead counts after applying filters.</t>
        </is>
      </c>
      <c r="C531" s="7" t="inlineStr">
        <is>
          <t>Scenarios workbook</t>
        </is>
      </c>
      <c r="D531" s="7" t="inlineStr">
        <is>
          <t>Business scenarios (all pages)</t>
        </is>
      </c>
      <c r="E531" s="8" t="inlineStr">
        <is>
          <t>REQ-SC-04</t>
        </is>
      </c>
      <c r="F531" s="8" t="inlineStr">
        <is>
          <t>Medium</t>
        </is>
      </c>
      <c r="G531" s="7" t="inlineStr">
        <is>
          <t>Yes</t>
        </is>
      </c>
      <c r="H531" s="7" t="inlineStr">
        <is>
          <t>tests/scenarios/lead-reports.spec.ts</t>
        </is>
      </c>
      <c r="I531" s="8" t="inlineStr">
        <is>
          <t>Pass</t>
        </is>
      </c>
      <c r="J531" s="8" t="n"/>
      <c r="K531" s="7" t="n"/>
    </row>
    <row r="532">
      <c r="A532" s="7" t="inlineStr">
        <is>
          <t>RA-040</t>
        </is>
      </c>
      <c r="B532" s="7" t="inlineStr">
        <is>
          <t>Verify lead data against the API/database.</t>
        </is>
      </c>
      <c r="C532" s="7" t="inlineStr">
        <is>
          <t>Scenarios workbook</t>
        </is>
      </c>
      <c r="D532" s="7" t="inlineStr">
        <is>
          <t>Business scenarios (all pages)</t>
        </is>
      </c>
      <c r="E532" s="8" t="inlineStr">
        <is>
          <t>REQ-SC-04</t>
        </is>
      </c>
      <c r="F532" s="8" t="inlineStr">
        <is>
          <t>Medium</t>
        </is>
      </c>
      <c r="G532" s="7" t="inlineStr">
        <is>
          <t>Yes</t>
        </is>
      </c>
      <c r="H532" s="7" t="inlineStr">
        <is>
          <t>tests/scenarios/lead-reports.spec.ts</t>
        </is>
      </c>
      <c r="I532" s="8" t="inlineStr">
        <is>
          <t>Pass</t>
        </is>
      </c>
      <c r="J532" s="8" t="n"/>
      <c r="K532" s="7" t="n"/>
    </row>
    <row r="533">
      <c r="A533" s="7" t="inlineStr">
        <is>
          <t>RA-041</t>
        </is>
      </c>
      <c r="B533" s="7" t="inlineStr">
        <is>
          <t>Verify Excel export.</t>
        </is>
      </c>
      <c r="C533" s="7" t="inlineStr">
        <is>
          <t>Scenarios workbook</t>
        </is>
      </c>
      <c r="D533" s="7" t="inlineStr">
        <is>
          <t>Business scenarios (all pages)</t>
        </is>
      </c>
      <c r="E533" s="8" t="inlineStr">
        <is>
          <t>REQ-SC-04</t>
        </is>
      </c>
      <c r="F533" s="8" t="inlineStr">
        <is>
          <t>Medium</t>
        </is>
      </c>
      <c r="G533" s="7" t="inlineStr">
        <is>
          <t>Yes</t>
        </is>
      </c>
      <c r="H533" s="7" t="inlineStr">
        <is>
          <t>tests/scenarios/lead-reports.spec.ts</t>
        </is>
      </c>
      <c r="I533" s="8" t="inlineStr">
        <is>
          <t>Pass</t>
        </is>
      </c>
      <c r="J533" s="8" t="n"/>
      <c r="K533" s="7" t="n"/>
    </row>
    <row r="534">
      <c r="A534" s="7" t="inlineStr">
        <is>
          <t>RA-042</t>
        </is>
      </c>
      <c r="B534" s="7" t="inlineStr">
        <is>
          <t>Verify exported record count matches the filtered report.</t>
        </is>
      </c>
      <c r="C534" s="7" t="inlineStr">
        <is>
          <t>Scenarios workbook</t>
        </is>
      </c>
      <c r="D534" s="7" t="inlineStr">
        <is>
          <t>Business scenarios (all pages)</t>
        </is>
      </c>
      <c r="E534" s="8" t="inlineStr">
        <is>
          <t>REQ-SC-04</t>
        </is>
      </c>
      <c r="F534" s="8" t="inlineStr">
        <is>
          <t>Medium</t>
        </is>
      </c>
      <c r="G534" s="7" t="inlineStr">
        <is>
          <t>Yes</t>
        </is>
      </c>
      <c r="H534" s="7" t="inlineStr">
        <is>
          <t>tests/scenarios/lead-reports.spec.ts</t>
        </is>
      </c>
      <c r="I534" s="8" t="inlineStr">
        <is>
          <t>Pass</t>
        </is>
      </c>
      <c r="J534" s="8" t="n"/>
      <c r="K534" s="7" t="n"/>
    </row>
    <row r="535">
      <c r="A535" s="7" t="inlineStr">
        <is>
          <t>RA-043</t>
        </is>
      </c>
      <c r="B535" s="7" t="inlineStr">
        <is>
          <t>Verify combined filters work correctly.</t>
        </is>
      </c>
      <c r="C535" s="7" t="inlineStr">
        <is>
          <t>Scenarios workbook</t>
        </is>
      </c>
      <c r="D535" s="7" t="inlineStr">
        <is>
          <t>Business scenarios (all pages)</t>
        </is>
      </c>
      <c r="E535" s="8" t="inlineStr">
        <is>
          <t>REQ-SC-04</t>
        </is>
      </c>
      <c r="F535" s="8" t="inlineStr">
        <is>
          <t>Medium</t>
        </is>
      </c>
      <c r="G535" s="7" t="inlineStr">
        <is>
          <t>Yes</t>
        </is>
      </c>
      <c r="H535" s="7" t="inlineStr">
        <is>
          <t>tests/scenarios/lead-reports.spec.ts</t>
        </is>
      </c>
      <c r="I535" s="8" t="inlineStr">
        <is>
          <t>Pass</t>
        </is>
      </c>
      <c r="J535" s="8" t="n"/>
      <c r="K535" s="7" t="n"/>
    </row>
    <row r="536">
      <c r="A536" s="7" t="inlineStr">
        <is>
          <t>RA-019</t>
        </is>
      </c>
      <c r="B536" s="7" t="inlineStr">
        <is>
          <t>Verify navigation from the Reports &amp; Analytics hub to Lead Reports.</t>
        </is>
      </c>
      <c r="C536" s="7" t="inlineStr">
        <is>
          <t>Scenarios workbook</t>
        </is>
      </c>
      <c r="D536" s="7" t="inlineStr">
        <is>
          <t>Business scenarios (all pages)</t>
        </is>
      </c>
      <c r="E536" s="8" t="inlineStr">
        <is>
          <t>REQ-SC-03</t>
        </is>
      </c>
      <c r="F536" s="8" t="inlineStr">
        <is>
          <t>Medium</t>
        </is>
      </c>
      <c r="G536" s="7" t="inlineStr">
        <is>
          <t>Yes</t>
        </is>
      </c>
      <c r="H536" s="7" t="inlineStr">
        <is>
          <t>tests/scenarios/navigation-filters.spec.ts</t>
        </is>
      </c>
      <c r="I536" s="8" t="inlineStr">
        <is>
          <t>Pass</t>
        </is>
      </c>
      <c r="J536" s="8" t="n"/>
      <c r="K536" s="7" t="n"/>
    </row>
    <row r="537">
      <c r="A537" s="7" t="inlineStr">
        <is>
          <t>RA-020</t>
        </is>
      </c>
      <c r="B537" s="7" t="inlineStr">
        <is>
          <t>Verify navigation to Sales Reports.</t>
        </is>
      </c>
      <c r="C537" s="7" t="inlineStr">
        <is>
          <t>Scenarios workbook</t>
        </is>
      </c>
      <c r="D537" s="7" t="inlineStr">
        <is>
          <t>Business scenarios (all pages)</t>
        </is>
      </c>
      <c r="E537" s="8" t="inlineStr">
        <is>
          <t>REQ-SC-03</t>
        </is>
      </c>
      <c r="F537" s="8" t="inlineStr">
        <is>
          <t>Medium</t>
        </is>
      </c>
      <c r="G537" s="7" t="inlineStr">
        <is>
          <t>Yes</t>
        </is>
      </c>
      <c r="H537" s="7" t="inlineStr">
        <is>
          <t>tests/scenarios/navigation-filters.spec.ts</t>
        </is>
      </c>
      <c r="I537" s="8" t="inlineStr">
        <is>
          <t>Pass</t>
        </is>
      </c>
      <c r="J537" s="8" t="n"/>
      <c r="K537" s="7" t="n"/>
    </row>
    <row r="538">
      <c r="A538" s="7" t="inlineStr">
        <is>
          <t>RA-021</t>
        </is>
      </c>
      <c r="B538" s="7" t="inlineStr">
        <is>
          <t>Verify navigation to Inventory Reports.</t>
        </is>
      </c>
      <c r="C538" s="7" t="inlineStr">
        <is>
          <t>Scenarios workbook</t>
        </is>
      </c>
      <c r="D538" s="7" t="inlineStr">
        <is>
          <t>Business scenarios (all pages)</t>
        </is>
      </c>
      <c r="E538" s="8" t="inlineStr">
        <is>
          <t>REQ-SC-03</t>
        </is>
      </c>
      <c r="F538" s="8" t="inlineStr">
        <is>
          <t>Medium</t>
        </is>
      </c>
      <c r="G538" s="7" t="inlineStr">
        <is>
          <t>Yes</t>
        </is>
      </c>
      <c r="H538" s="7" t="inlineStr">
        <is>
          <t>tests/scenarios/navigation-filters.spec.ts</t>
        </is>
      </c>
      <c r="I538" s="8" t="inlineStr">
        <is>
          <t>Pass</t>
        </is>
      </c>
      <c r="J538" s="8" t="n"/>
      <c r="K538" s="7" t="n"/>
    </row>
    <row r="539">
      <c r="A539" s="7" t="inlineStr">
        <is>
          <t>RA-022</t>
        </is>
      </c>
      <c r="B539" s="7" t="inlineStr">
        <is>
          <t>Verify navigation to Customer Reports.</t>
        </is>
      </c>
      <c r="C539" s="7" t="inlineStr">
        <is>
          <t>Scenarios workbook</t>
        </is>
      </c>
      <c r="D539" s="7" t="inlineStr">
        <is>
          <t>Business scenarios (all pages)</t>
        </is>
      </c>
      <c r="E539" s="8" t="inlineStr">
        <is>
          <t>REQ-SC-03</t>
        </is>
      </c>
      <c r="F539" s="8" t="inlineStr">
        <is>
          <t>Medium</t>
        </is>
      </c>
      <c r="G539" s="7" t="inlineStr">
        <is>
          <t>Yes</t>
        </is>
      </c>
      <c r="H539" s="7" t="inlineStr">
        <is>
          <t>tests/scenarios/navigation-filters.spec.ts</t>
        </is>
      </c>
      <c r="I539" s="8" t="inlineStr">
        <is>
          <t>Pass</t>
        </is>
      </c>
      <c r="J539" s="8" t="n"/>
      <c r="K539" s="7" t="n"/>
    </row>
    <row r="540">
      <c r="A540" s="7" t="inlineStr">
        <is>
          <t>RA-023</t>
        </is>
      </c>
      <c r="B540" s="7" t="inlineStr">
        <is>
          <t>Verify navigation to Broker Reports.</t>
        </is>
      </c>
      <c r="C540" s="7" t="inlineStr">
        <is>
          <t>Scenarios workbook</t>
        </is>
      </c>
      <c r="D540" s="7" t="inlineStr">
        <is>
          <t>Business scenarios (all pages)</t>
        </is>
      </c>
      <c r="E540" s="8" t="inlineStr">
        <is>
          <t>REQ-SC-03</t>
        </is>
      </c>
      <c r="F540" s="8" t="inlineStr">
        <is>
          <t>Medium</t>
        </is>
      </c>
      <c r="G540" s="7" t="inlineStr">
        <is>
          <t>Yes</t>
        </is>
      </c>
      <c r="H540" s="7" t="inlineStr">
        <is>
          <t>tests/scenarios/navigation-filters.spec.ts</t>
        </is>
      </c>
      <c r="I540" s="8" t="inlineStr">
        <is>
          <t>Pass</t>
        </is>
      </c>
      <c r="J540" s="8" t="n"/>
      <c r="K540" s="7" t="n"/>
    </row>
    <row r="541">
      <c r="A541" s="7" t="inlineStr">
        <is>
          <t>RA-024</t>
        </is>
      </c>
      <c r="B541" s="7" t="inlineStr">
        <is>
          <t>Verify navigation to Marketing Reports.</t>
        </is>
      </c>
      <c r="C541" s="7" t="inlineStr">
        <is>
          <t>Scenarios workbook</t>
        </is>
      </c>
      <c r="D541" s="7" t="inlineStr">
        <is>
          <t>Business scenarios (all pages)</t>
        </is>
      </c>
      <c r="E541" s="8" t="inlineStr">
        <is>
          <t>REQ-SC-03</t>
        </is>
      </c>
      <c r="F541" s="8" t="inlineStr">
        <is>
          <t>Medium</t>
        </is>
      </c>
      <c r="G541" s="7" t="inlineStr">
        <is>
          <t>Yes</t>
        </is>
      </c>
      <c r="H541" s="7" t="inlineStr">
        <is>
          <t>tests/scenarios/navigation-filters.spec.ts</t>
        </is>
      </c>
      <c r="I541" s="8" t="inlineStr">
        <is>
          <t>Pass</t>
        </is>
      </c>
      <c r="J541" s="8" t="n"/>
      <c r="K541" s="7" t="n"/>
    </row>
    <row r="542">
      <c r="A542" s="7" t="inlineStr">
        <is>
          <t>RA-025</t>
        </is>
      </c>
      <c r="B542" s="7" t="inlineStr">
        <is>
          <t>Verify navigation to Reservation Reports.</t>
        </is>
      </c>
      <c r="C542" s="7" t="inlineStr">
        <is>
          <t>Scenarios workbook</t>
        </is>
      </c>
      <c r="D542" s="7" t="inlineStr">
        <is>
          <t>Business scenarios (all pages)</t>
        </is>
      </c>
      <c r="E542" s="8" t="inlineStr">
        <is>
          <t>REQ-SC-03</t>
        </is>
      </c>
      <c r="F542" s="8" t="inlineStr">
        <is>
          <t>Medium</t>
        </is>
      </c>
      <c r="G542" s="7" t="inlineStr">
        <is>
          <t>Yes</t>
        </is>
      </c>
      <c r="H542" s="7" t="inlineStr">
        <is>
          <t>tests/scenarios/navigation-filters.spec.ts</t>
        </is>
      </c>
      <c r="I542" s="8" t="inlineStr">
        <is>
          <t>Pass</t>
        </is>
      </c>
      <c r="J542" s="8" t="n"/>
      <c r="K542" s="7" t="n"/>
    </row>
    <row r="543">
      <c r="A543" s="7" t="inlineStr">
        <is>
          <t>RA-026</t>
        </is>
      </c>
      <c r="B543" s="7" t="inlineStr">
        <is>
          <t>Verify navigation to SPA Reports.</t>
        </is>
      </c>
      <c r="C543" s="7" t="inlineStr">
        <is>
          <t>Scenarios workbook</t>
        </is>
      </c>
      <c r="D543" s="7" t="inlineStr">
        <is>
          <t>Business scenarios (all pages)</t>
        </is>
      </c>
      <c r="E543" s="8" t="inlineStr">
        <is>
          <t>REQ-SC-03</t>
        </is>
      </c>
      <c r="F543" s="8" t="inlineStr">
        <is>
          <t>Medium</t>
        </is>
      </c>
      <c r="G543" s="7" t="inlineStr">
        <is>
          <t>Yes</t>
        </is>
      </c>
      <c r="H543" s="7" t="inlineStr">
        <is>
          <t>tests/scenarios/navigation-filters.spec.ts</t>
        </is>
      </c>
      <c r="I543" s="8" t="inlineStr">
        <is>
          <t>Pass</t>
        </is>
      </c>
      <c r="J543" s="8" t="n"/>
      <c r="K543" s="7" t="n"/>
    </row>
    <row r="544">
      <c r="A544" s="7" t="inlineStr">
        <is>
          <t>RA-027</t>
        </is>
      </c>
      <c r="B544" s="7" t="inlineStr">
        <is>
          <t>Verify navigation to Collection Reports.</t>
        </is>
      </c>
      <c r="C544" s="7" t="inlineStr">
        <is>
          <t>Scenarios workbook</t>
        </is>
      </c>
      <c r="D544" s="7" t="inlineStr">
        <is>
          <t>Business scenarios (all pages)</t>
        </is>
      </c>
      <c r="E544" s="8" t="inlineStr">
        <is>
          <t>REQ-SC-03</t>
        </is>
      </c>
      <c r="F544" s="8" t="inlineStr">
        <is>
          <t>Medium</t>
        </is>
      </c>
      <c r="G544" s="7" t="inlineStr">
        <is>
          <t>Yes</t>
        </is>
      </c>
      <c r="H544" s="7" t="inlineStr">
        <is>
          <t>tests/scenarios/navigation-filters.spec.ts</t>
        </is>
      </c>
      <c r="I544" s="8" t="inlineStr">
        <is>
          <t>Pass</t>
        </is>
      </c>
      <c r="J544" s="8" t="n"/>
      <c r="K544" s="7" t="n"/>
    </row>
    <row r="545">
      <c r="A545" s="7" t="inlineStr">
        <is>
          <t>RA-028</t>
        </is>
      </c>
      <c r="B545" s="7" t="inlineStr">
        <is>
          <t>Verify navigation to Executive Reports.</t>
        </is>
      </c>
      <c r="C545" s="7" t="inlineStr">
        <is>
          <t>Scenarios workbook</t>
        </is>
      </c>
      <c r="D545" s="7" t="inlineStr">
        <is>
          <t>Business scenarios (all pages)</t>
        </is>
      </c>
      <c r="E545" s="8" t="inlineStr">
        <is>
          <t>REQ-SC-03</t>
        </is>
      </c>
      <c r="F545" s="8" t="inlineStr">
        <is>
          <t>Medium</t>
        </is>
      </c>
      <c r="G545" s="7" t="inlineStr">
        <is>
          <t>Yes</t>
        </is>
      </c>
      <c r="H545" s="7" t="inlineStr">
        <is>
          <t>tests/scenarios/navigation-filters.spec.ts</t>
        </is>
      </c>
      <c r="I545" s="8" t="inlineStr">
        <is>
          <t>Pass</t>
        </is>
      </c>
      <c r="J545" s="8" t="n"/>
      <c r="K545" s="7" t="n"/>
    </row>
    <row r="546">
      <c r="A546" s="7" t="inlineStr">
        <is>
          <t>RA-029</t>
        </is>
      </c>
      <c r="B546" s="7" t="inlineStr">
        <is>
          <t>Verify navigation to Exception Reports.</t>
        </is>
      </c>
      <c r="C546" s="7" t="inlineStr">
        <is>
          <t>Scenarios workbook</t>
        </is>
      </c>
      <c r="D546" s="7" t="inlineStr">
        <is>
          <t>Business scenarios (all pages)</t>
        </is>
      </c>
      <c r="E546" s="8" t="inlineStr">
        <is>
          <t>REQ-SC-03</t>
        </is>
      </c>
      <c r="F546" s="8" t="inlineStr">
        <is>
          <t>Medium</t>
        </is>
      </c>
      <c r="G546" s="7" t="inlineStr">
        <is>
          <t>Yes</t>
        </is>
      </c>
      <c r="H546" s="7" t="inlineStr">
        <is>
          <t>tests/scenarios/navigation-filters.spec.ts</t>
        </is>
      </c>
      <c r="I546" s="8" t="inlineStr">
        <is>
          <t>Pass</t>
        </is>
      </c>
      <c r="J546" s="8" t="n"/>
      <c r="K546" s="7" t="n"/>
    </row>
    <row r="547">
      <c r="A547" s="7" t="inlineStr">
        <is>
          <t>RA-030</t>
        </is>
      </c>
      <c r="B547" s="7" t="inlineStr">
        <is>
          <t>Verify the correct report module opens when Open Module is selected.</t>
        </is>
      </c>
      <c r="C547" s="7" t="inlineStr">
        <is>
          <t>Scenarios workbook</t>
        </is>
      </c>
      <c r="D547" s="7" t="inlineStr">
        <is>
          <t>Business scenarios (all pages)</t>
        </is>
      </c>
      <c r="E547" s="8" t="inlineStr">
        <is>
          <t>REQ-SC-03</t>
        </is>
      </c>
      <c r="F547" s="8" t="inlineStr">
        <is>
          <t>Medium</t>
        </is>
      </c>
      <c r="G547" s="7" t="inlineStr">
        <is>
          <t>Yes</t>
        </is>
      </c>
      <c r="H547" s="7" t="inlineStr">
        <is>
          <t>tests/scenarios/navigation-filters.spec.ts</t>
        </is>
      </c>
      <c r="I547" s="8" t="inlineStr">
        <is>
          <t>Pass</t>
        </is>
      </c>
      <c r="J547" s="8" t="n"/>
      <c r="K547" s="7" t="n"/>
    </row>
    <row r="548">
      <c r="A548" s="7" t="inlineStr">
        <is>
          <t>RA-031</t>
        </is>
      </c>
      <c r="B548" s="7" t="inlineStr">
        <is>
          <t>Verify users can navigate back to the Reports &amp; Analytics hub.</t>
        </is>
      </c>
      <c r="C548" s="7" t="inlineStr">
        <is>
          <t>Scenarios workbook</t>
        </is>
      </c>
      <c r="D548" s="7" t="inlineStr">
        <is>
          <t>Business scenarios (all pages)</t>
        </is>
      </c>
      <c r="E548" s="8" t="inlineStr">
        <is>
          <t>REQ-SC-03</t>
        </is>
      </c>
      <c r="F548" s="8" t="inlineStr">
        <is>
          <t>Medium</t>
        </is>
      </c>
      <c r="G548" s="7" t="inlineStr">
        <is>
          <t>Yes</t>
        </is>
      </c>
      <c r="H548" s="7" t="inlineStr">
        <is>
          <t>tests/scenarios/navigation-filters.spec.ts</t>
        </is>
      </c>
      <c r="I548" s="8" t="inlineStr">
        <is>
          <t>Pass</t>
        </is>
      </c>
      <c r="J548" s="8" t="n"/>
      <c r="K548" s="7" t="n"/>
    </row>
    <row r="549">
      <c r="A549" s="7" t="inlineStr">
        <is>
          <t>RA-044</t>
        </is>
      </c>
      <c r="B549" s="7" t="inlineStr">
        <is>
          <t>Verify Campaign Filter functionality.</t>
        </is>
      </c>
      <c r="C549" s="7" t="inlineStr">
        <is>
          <t>Scenarios workbook</t>
        </is>
      </c>
      <c r="D549" s="7" t="inlineStr">
        <is>
          <t>Business scenarios (all pages)</t>
        </is>
      </c>
      <c r="E549" s="8" t="inlineStr">
        <is>
          <t>REQ-SC-05</t>
        </is>
      </c>
      <c r="F549" s="8" t="inlineStr">
        <is>
          <t>Medium</t>
        </is>
      </c>
      <c r="G549" s="7" t="inlineStr">
        <is>
          <t>Yes</t>
        </is>
      </c>
      <c r="H549" s="7" t="inlineStr">
        <is>
          <t>tests/scenarios/navigation-filters.spec.ts</t>
        </is>
      </c>
      <c r="I549" s="8" t="inlineStr">
        <is>
          <t>Pass</t>
        </is>
      </c>
      <c r="J549" s="8" t="n"/>
      <c r="K549" s="7" t="n"/>
    </row>
    <row r="550">
      <c r="A550" s="7" t="inlineStr">
        <is>
          <t>RA-045</t>
        </is>
      </c>
      <c r="B550" s="7" t="inlineStr">
        <is>
          <t>Verify You and your team view.</t>
        </is>
      </c>
      <c r="C550" s="7" t="inlineStr">
        <is>
          <t>Scenarios workbook</t>
        </is>
      </c>
      <c r="D550" s="7" t="inlineStr">
        <is>
          <t>Business scenarios (all pages)</t>
        </is>
      </c>
      <c r="E550" s="8" t="inlineStr">
        <is>
          <t>REQ-SC-05</t>
        </is>
      </c>
      <c r="F550" s="8" t="inlineStr">
        <is>
          <t>Medium</t>
        </is>
      </c>
      <c r="G550" s="7" t="inlineStr">
        <is>
          <t>Yes</t>
        </is>
      </c>
      <c r="H550" s="7" t="inlineStr">
        <is>
          <t>tests/scenarios/navigation-filters.spec.ts</t>
        </is>
      </c>
      <c r="I550" s="8" t="inlineStr">
        <is>
          <t>Pass</t>
        </is>
      </c>
      <c r="J550" s="8" t="n"/>
      <c r="K550" s="7" t="n"/>
    </row>
    <row r="551">
      <c r="A551" s="7" t="inlineStr">
        <is>
          <t>RA-046</t>
        </is>
      </c>
      <c r="B551" s="7" t="inlineStr">
        <is>
          <t>Verify Mine view.</t>
        </is>
      </c>
      <c r="C551" s="7" t="inlineStr">
        <is>
          <t>Scenarios workbook</t>
        </is>
      </c>
      <c r="D551" s="7" t="inlineStr">
        <is>
          <t>Business scenarios (all pages)</t>
        </is>
      </c>
      <c r="E551" s="8" t="inlineStr">
        <is>
          <t>REQ-SC-05</t>
        </is>
      </c>
      <c r="F551" s="8" t="inlineStr">
        <is>
          <t>Medium</t>
        </is>
      </c>
      <c r="G551" s="7" t="inlineStr">
        <is>
          <t>Yes</t>
        </is>
      </c>
      <c r="H551" s="7" t="inlineStr">
        <is>
          <t>tests/scenarios/navigation-filters.spec.ts</t>
        </is>
      </c>
      <c r="I551" s="8" t="inlineStr">
        <is>
          <t>Pass</t>
        </is>
      </c>
      <c r="J551" s="8" t="n"/>
      <c r="K551" s="7" t="n"/>
    </row>
    <row r="552">
      <c r="A552" s="7" t="inlineStr">
        <is>
          <t>RA-047</t>
        </is>
      </c>
      <c r="B552" s="7" t="inlineStr">
        <is>
          <t>Verify switching between available report tabs.</t>
        </is>
      </c>
      <c r="C552" s="7" t="inlineStr">
        <is>
          <t>Scenarios workbook</t>
        </is>
      </c>
      <c r="D552" s="7" t="inlineStr">
        <is>
          <t>Business scenarios (all pages)</t>
        </is>
      </c>
      <c r="E552" s="8" t="inlineStr">
        <is>
          <t>REQ-SC-05</t>
        </is>
      </c>
      <c r="F552" s="8" t="inlineStr">
        <is>
          <t>Medium</t>
        </is>
      </c>
      <c r="G552" s="7" t="inlineStr">
        <is>
          <t>Yes</t>
        </is>
      </c>
      <c r="H552" s="7" t="inlineStr">
        <is>
          <t>tests/scenarios/navigation-filters.spec.ts</t>
        </is>
      </c>
      <c r="I552" s="8" t="inlineStr">
        <is>
          <t>Pass</t>
        </is>
      </c>
      <c r="J552" s="8" t="n"/>
      <c r="K552" s="7" t="n"/>
    </row>
    <row r="553">
      <c r="A553" s="7" t="inlineStr">
        <is>
          <t>RA-048</t>
        </is>
      </c>
      <c r="B553" s="7" t="inlineStr">
        <is>
          <t>Verify multiple filters can be applied together.</t>
        </is>
      </c>
      <c r="C553" s="7" t="inlineStr">
        <is>
          <t>Scenarios workbook</t>
        </is>
      </c>
      <c r="D553" s="7" t="inlineStr">
        <is>
          <t>Business scenarios (all pages)</t>
        </is>
      </c>
      <c r="E553" s="8" t="inlineStr">
        <is>
          <t>REQ-SC-05</t>
        </is>
      </c>
      <c r="F553" s="8" t="inlineStr">
        <is>
          <t>Medium</t>
        </is>
      </c>
      <c r="G553" s="7" t="inlineStr">
        <is>
          <t>Yes</t>
        </is>
      </c>
      <c r="H553" s="7" t="inlineStr">
        <is>
          <t>tests/scenarios/navigation-filters.spec.ts</t>
        </is>
      </c>
      <c r="I553" s="8" t="inlineStr">
        <is>
          <t>Pass</t>
        </is>
      </c>
      <c r="J553" s="8" t="n"/>
      <c r="K553" s="7" t="n"/>
    </row>
    <row r="554">
      <c r="A554" s="7" t="inlineStr">
        <is>
          <t>RA-049</t>
        </is>
      </c>
      <c r="B554" s="7" t="inlineStr">
        <is>
          <t>Verify clearing filters restores the default results.</t>
        </is>
      </c>
      <c r="C554" s="7" t="inlineStr">
        <is>
          <t>Scenarios workbook</t>
        </is>
      </c>
      <c r="D554" s="7" t="inlineStr">
        <is>
          <t>Business scenarios (all pages)</t>
        </is>
      </c>
      <c r="E554" s="8" t="inlineStr">
        <is>
          <t>REQ-SC-05</t>
        </is>
      </c>
      <c r="F554" s="8" t="inlineStr">
        <is>
          <t>Medium</t>
        </is>
      </c>
      <c r="G554" s="7" t="inlineStr">
        <is>
          <t>Yes</t>
        </is>
      </c>
      <c r="H554" s="7" t="inlineStr">
        <is>
          <t>tests/scenarios/navigation-filters.spec.ts</t>
        </is>
      </c>
      <c r="I554" s="8" t="inlineStr">
        <is>
          <t>Pass</t>
        </is>
      </c>
      <c r="J554" s="8" t="n"/>
      <c r="K554" s="7" t="n"/>
    </row>
    <row r="555">
      <c r="A555" s="7" t="inlineStr">
        <is>
          <t>RA-050</t>
        </is>
      </c>
      <c r="B555" s="7" t="inlineStr">
        <is>
          <t>Verify filters remain consistent when navigating between relevant report sections.</t>
        </is>
      </c>
      <c r="C555" s="7" t="inlineStr">
        <is>
          <t>Scenarios workbook</t>
        </is>
      </c>
      <c r="D555" s="7" t="inlineStr">
        <is>
          <t>Business scenarios (all pages)</t>
        </is>
      </c>
      <c r="E555" s="8" t="inlineStr">
        <is>
          <t>REQ-SC-05</t>
        </is>
      </c>
      <c r="F555" s="8" t="inlineStr">
        <is>
          <t>Medium</t>
        </is>
      </c>
      <c r="G555" s="7" t="inlineStr">
        <is>
          <t>Yes</t>
        </is>
      </c>
      <c r="H555" s="7" t="inlineStr">
        <is>
          <t>tests/scenarios/navigation-filters.spec.ts</t>
        </is>
      </c>
      <c r="I555" s="8" t="inlineStr">
        <is>
          <t>Pass</t>
        </is>
      </c>
      <c r="J555" s="8" t="n"/>
      <c r="K555" s="7" t="n"/>
    </row>
    <row r="556">
      <c r="A556" s="7" t="inlineStr">
        <is>
          <t>RA-051</t>
        </is>
      </c>
      <c r="B556" s="7" t="inlineStr">
        <is>
          <t>Verify Sales Reports show correct pipeline, stage, salesperson, win-rate and forecast information.</t>
        </is>
      </c>
      <c r="C556" s="7" t="inlineStr">
        <is>
          <t>Scenarios workbook</t>
        </is>
      </c>
      <c r="D556" s="7" t="inlineStr">
        <is>
          <t>Business scenarios (all pages)</t>
        </is>
      </c>
      <c r="E556" s="8" t="inlineStr">
        <is>
          <t>REQ-SC-06</t>
        </is>
      </c>
      <c r="F556" s="8" t="inlineStr">
        <is>
          <t>Medium</t>
        </is>
      </c>
      <c r="G556" s="7" t="inlineStr">
        <is>
          <t>Yes</t>
        </is>
      </c>
      <c r="H556" s="7" t="inlineStr">
        <is>
          <t>tests/scenarios/report-data.spec.ts</t>
        </is>
      </c>
      <c r="I556" s="8" t="inlineStr">
        <is>
          <t>Pass</t>
        </is>
      </c>
      <c r="J556" s="8" t="n"/>
      <c r="K556" s="7" t="n"/>
    </row>
    <row r="557">
      <c r="A557" s="7" t="inlineStr">
        <is>
          <t>RA-052</t>
        </is>
      </c>
      <c r="B557" s="7" t="inlineStr">
        <is>
          <t>Verify Inventory Reports show correct available, reserved and sold units.</t>
        </is>
      </c>
      <c r="C557" s="7" t="inlineStr">
        <is>
          <t>Scenarios workbook</t>
        </is>
      </c>
      <c r="D557" s="7" t="inlineStr">
        <is>
          <t>Business scenarios (all pages)</t>
        </is>
      </c>
      <c r="E557" s="8" t="inlineStr">
        <is>
          <t>REQ-SC-06</t>
        </is>
      </c>
      <c r="F557" s="8" t="inlineStr">
        <is>
          <t>Medium</t>
        </is>
      </c>
      <c r="G557" s="7" t="inlineStr">
        <is>
          <t>Yes</t>
        </is>
      </c>
      <c r="H557" s="7" t="inlineStr">
        <is>
          <t>tests/scenarios/report-data.spec.ts</t>
        </is>
      </c>
      <c r="I557" s="8" t="inlineStr">
        <is>
          <t>Pass</t>
        </is>
      </c>
      <c r="J557" s="8" t="n"/>
      <c r="K557" s="7" t="n"/>
    </row>
    <row r="558">
      <c r="A558" s="7" t="inlineStr">
        <is>
          <t>RA-053</t>
        </is>
      </c>
      <c r="B558" s="7" t="inlineStr">
        <is>
          <t>Verify Customer Reports show correct customer type, nationality, residence and buyer information.</t>
        </is>
      </c>
      <c r="C558" s="7" t="inlineStr">
        <is>
          <t>Scenarios workbook</t>
        </is>
      </c>
      <c r="D558" s="7" t="inlineStr">
        <is>
          <t>Business scenarios (all pages)</t>
        </is>
      </c>
      <c r="E558" s="8" t="inlineStr">
        <is>
          <t>REQ-SC-06</t>
        </is>
      </c>
      <c r="F558" s="8" t="inlineStr">
        <is>
          <t>Medium</t>
        </is>
      </c>
      <c r="G558" s="7" t="inlineStr">
        <is>
          <t>Yes</t>
        </is>
      </c>
      <c r="H558" s="7" t="inlineStr">
        <is>
          <t>tests/scenarios/report-data.spec.ts</t>
        </is>
      </c>
      <c r="I558" s="8" t="inlineStr">
        <is>
          <t>Pass</t>
        </is>
      </c>
      <c r="J558" s="8" t="n"/>
      <c r="K558" s="7" t="n"/>
    </row>
    <row r="559">
      <c r="A559" s="7" t="inlineStr">
        <is>
          <t>RA-054</t>
        </is>
      </c>
      <c r="B559" s="7" t="inlineStr">
        <is>
          <t>Verify Broker Reports show correct broker leads, conversions, reservations and SPAs.</t>
        </is>
      </c>
      <c r="C559" s="7" t="inlineStr">
        <is>
          <t>Scenarios workbook</t>
        </is>
      </c>
      <c r="D559" s="7" t="inlineStr">
        <is>
          <t>Business scenarios (all pages)</t>
        </is>
      </c>
      <c r="E559" s="8" t="inlineStr">
        <is>
          <t>REQ-SC-06</t>
        </is>
      </c>
      <c r="F559" s="8" t="inlineStr">
        <is>
          <t>Medium</t>
        </is>
      </c>
      <c r="G559" s="7" t="inlineStr">
        <is>
          <t>Yes</t>
        </is>
      </c>
      <c r="H559" s="7" t="inlineStr">
        <is>
          <t>tests/scenarios/report-data.spec.ts</t>
        </is>
      </c>
      <c r="I559" s="8" t="inlineStr">
        <is>
          <t>Pass</t>
        </is>
      </c>
      <c r="J559" s="8" t="n"/>
      <c r="K559" s="7" t="n"/>
    </row>
    <row r="560">
      <c r="A560" s="7" t="inlineStr">
        <is>
          <t>RA-055</t>
        </is>
      </c>
      <c r="B560" s="7" t="inlineStr">
        <is>
          <t>Verify Marketing Reports show correct campaign, channel, lead, cost and ROI information.</t>
        </is>
      </c>
      <c r="C560" s="7" t="inlineStr">
        <is>
          <t>Scenarios workbook</t>
        </is>
      </c>
      <c r="D560" s="7" t="inlineStr">
        <is>
          <t>Business scenarios (all pages)</t>
        </is>
      </c>
      <c r="E560" s="8" t="inlineStr">
        <is>
          <t>REQ-SC-06</t>
        </is>
      </c>
      <c r="F560" s="8" t="inlineStr">
        <is>
          <t>Medium</t>
        </is>
      </c>
      <c r="G560" s="7" t="inlineStr">
        <is>
          <t>Yes</t>
        </is>
      </c>
      <c r="H560" s="7" t="inlineStr">
        <is>
          <t>tests/scenarios/report-data.spec.ts</t>
        </is>
      </c>
      <c r="I560" s="8" t="inlineStr">
        <is>
          <t>Pass</t>
        </is>
      </c>
      <c r="J560" s="8" t="n"/>
      <c r="K560" s="7" t="n"/>
    </row>
    <row r="561">
      <c r="A561" s="7" t="inlineStr">
        <is>
          <t>RA-056</t>
        </is>
      </c>
      <c r="B561" s="7" t="inlineStr">
        <is>
          <t>Verify Reservation Reports show correct reservations, deposits, expiry and cancellation information.</t>
        </is>
      </c>
      <c r="C561" s="7" t="inlineStr">
        <is>
          <t>Scenarios workbook</t>
        </is>
      </c>
      <c r="D561" s="7" t="inlineStr">
        <is>
          <t>Business scenarios (all pages)</t>
        </is>
      </c>
      <c r="E561" s="8" t="inlineStr">
        <is>
          <t>REQ-SC-06</t>
        </is>
      </c>
      <c r="F561" s="8" t="inlineStr">
        <is>
          <t>Medium</t>
        </is>
      </c>
      <c r="G561" s="7" t="inlineStr">
        <is>
          <t>Yes</t>
        </is>
      </c>
      <c r="H561" s="7" t="inlineStr">
        <is>
          <t>tests/scenarios/report-data.spec.ts</t>
        </is>
      </c>
      <c r="I561" s="8" t="inlineStr">
        <is>
          <t>Pass</t>
        </is>
      </c>
      <c r="J561" s="8" t="n"/>
      <c r="K561" s="7" t="n"/>
    </row>
    <row r="562">
      <c r="A562" s="7" t="inlineStr">
        <is>
          <t>RA-057</t>
        </is>
      </c>
      <c r="B562" s="7" t="inlineStr">
        <is>
          <t>Verify SPA Reports show correct signed SPAs, contract values, KYC and ERP-related information.</t>
        </is>
      </c>
      <c r="C562" s="7" t="inlineStr">
        <is>
          <t>Scenarios workbook</t>
        </is>
      </c>
      <c r="D562" s="7" t="inlineStr">
        <is>
          <t>Business scenarios (all pages)</t>
        </is>
      </c>
      <c r="E562" s="8" t="inlineStr">
        <is>
          <t>REQ-SC-06</t>
        </is>
      </c>
      <c r="F562" s="8" t="inlineStr">
        <is>
          <t>Medium</t>
        </is>
      </c>
      <c r="G562" s="7" t="inlineStr">
        <is>
          <t>Yes</t>
        </is>
      </c>
      <c r="H562" s="7" t="inlineStr">
        <is>
          <t>tests/scenarios/report-data.spec.ts</t>
        </is>
      </c>
      <c r="I562" s="8" t="inlineStr">
        <is>
          <t>Pass</t>
        </is>
      </c>
      <c r="J562" s="8" t="n"/>
      <c r="K562" s="7" t="n"/>
    </row>
    <row r="563">
      <c r="A563" s="7" t="inlineStr">
        <is>
          <t>RA-058</t>
        </is>
      </c>
      <c r="B563" s="7" t="inlineStr">
        <is>
          <t>Verify Collection Reports show correct scheduled, received, outstanding, overdue and aging amounts.</t>
        </is>
      </c>
      <c r="C563" s="7" t="inlineStr">
        <is>
          <t>Scenarios workbook</t>
        </is>
      </c>
      <c r="D563" s="7" t="inlineStr">
        <is>
          <t>Business scenarios (all pages)</t>
        </is>
      </c>
      <c r="E563" s="8" t="inlineStr">
        <is>
          <t>REQ-SC-06</t>
        </is>
      </c>
      <c r="F563" s="8" t="inlineStr">
        <is>
          <t>Medium</t>
        </is>
      </c>
      <c r="G563" s="7" t="inlineStr">
        <is>
          <t>Yes</t>
        </is>
      </c>
      <c r="H563" s="7" t="inlineStr">
        <is>
          <t>tests/scenarios/report-data.spec.ts</t>
        </is>
      </c>
      <c r="I563" s="8" t="inlineStr">
        <is>
          <t>Fail</t>
        </is>
      </c>
      <c r="J563" s="8" t="inlineStr">
        <is>
          <t>DEF-07</t>
        </is>
      </c>
      <c r="K563" s="7" t="inlineStr">
        <is>
          <t>Error: Collection rate: 1.1 vs 0.5976863753213367</t>
        </is>
      </c>
    </row>
    <row r="564">
      <c r="A564" s="7" t="inlineStr">
        <is>
          <t>RA-059</t>
        </is>
      </c>
      <c r="B564" s="7" t="inlineStr">
        <is>
          <t>Verify Executive Reports display correct executive-level information.</t>
        </is>
      </c>
      <c r="C564" s="7" t="inlineStr">
        <is>
          <t>Scenarios workbook</t>
        </is>
      </c>
      <c r="D564" s="7" t="inlineStr">
        <is>
          <t>Business scenarios (all pages)</t>
        </is>
      </c>
      <c r="E564" s="8" t="inlineStr">
        <is>
          <t>REQ-SC-06</t>
        </is>
      </c>
      <c r="F564" s="8" t="inlineStr">
        <is>
          <t>Medium</t>
        </is>
      </c>
      <c r="G564" s="7" t="inlineStr">
        <is>
          <t>Yes</t>
        </is>
      </c>
      <c r="H564" s="7" t="inlineStr">
        <is>
          <t>tests/scenarios/report-data.spec.ts</t>
        </is>
      </c>
      <c r="I564" s="8" t="inlineStr">
        <is>
          <t>Fail</t>
        </is>
      </c>
      <c r="J564" s="8" t="inlineStr">
        <is>
          <t>DEF-02</t>
        </is>
      </c>
      <c r="K564" s="7" t="inlineStr">
        <is>
          <t>Error: Open opportunities: dashboard 43 vs /reports/sales "Open opportunities" 39</t>
        </is>
      </c>
    </row>
    <row r="565">
      <c r="A565" s="7" t="inlineStr">
        <is>
          <t>RA-060</t>
        </is>
      </c>
      <c r="B565" s="7" t="inlineStr">
        <is>
          <t>Verify Exception Reports correctly identify overdue, expiring, missing or stalled items.</t>
        </is>
      </c>
      <c r="C565" s="7" t="inlineStr">
        <is>
          <t>Scenarios workbook</t>
        </is>
      </c>
      <c r="D565" s="7" t="inlineStr">
        <is>
          <t>Business scenarios (all pages)</t>
        </is>
      </c>
      <c r="E565" s="8" t="inlineStr">
        <is>
          <t>REQ-SC-06</t>
        </is>
      </c>
      <c r="F565" s="8" t="inlineStr">
        <is>
          <t>Medium</t>
        </is>
      </c>
      <c r="G565" s="7" t="inlineStr">
        <is>
          <t>Yes</t>
        </is>
      </c>
      <c r="H565" s="7" t="inlineStr">
        <is>
          <t>tests/scenarios/report-data.spec.ts</t>
        </is>
      </c>
      <c r="I565" s="8" t="inlineStr">
        <is>
          <t>Pass</t>
        </is>
      </c>
      <c r="J565" s="8" t="n"/>
      <c r="K565" s="7" t="n"/>
    </row>
    <row r="566">
      <c r="A566" s="7" t="inlineStr">
        <is>
          <t>RA-061</t>
        </is>
      </c>
      <c r="B566" s="7" t="inlineStr">
        <is>
          <t>Verify individual records displayed in reports contain the correct information.</t>
        </is>
      </c>
      <c r="C566" s="7" t="inlineStr">
        <is>
          <t>Scenarios workbook</t>
        </is>
      </c>
      <c r="D566" s="7" t="inlineStr">
        <is>
          <t>Business scenarios (all pages)</t>
        </is>
      </c>
      <c r="E566" s="8" t="inlineStr">
        <is>
          <t>REQ-SC-07</t>
        </is>
      </c>
      <c r="F566" s="8" t="inlineStr">
        <is>
          <t>Medium</t>
        </is>
      </c>
      <c r="G566" s="7" t="inlineStr">
        <is>
          <t>Yes</t>
        </is>
      </c>
      <c r="H566" s="7" t="inlineStr">
        <is>
          <t>tests/scenarios/report-data.spec.ts</t>
        </is>
      </c>
      <c r="I566" s="8" t="inlineStr">
        <is>
          <t>Pass</t>
        </is>
      </c>
      <c r="J566" s="8" t="n"/>
      <c r="K566" s="7" t="n"/>
    </row>
    <row r="567">
      <c r="A567" s="7" t="inlineStr">
        <is>
          <t>RA-062</t>
        </is>
      </c>
      <c r="B567" s="7" t="inlineStr">
        <is>
          <t>Verify record details match the corresponding source data.</t>
        </is>
      </c>
      <c r="C567" s="7" t="inlineStr">
        <is>
          <t>Scenarios workbook</t>
        </is>
      </c>
      <c r="D567" s="7" t="inlineStr">
        <is>
          <t>Business scenarios (all pages)</t>
        </is>
      </c>
      <c r="E567" s="8" t="inlineStr">
        <is>
          <t>REQ-SC-07</t>
        </is>
      </c>
      <c r="F567" s="8" t="inlineStr">
        <is>
          <t>Medium</t>
        </is>
      </c>
      <c r="G567" s="7" t="inlineStr">
        <is>
          <t>Yes</t>
        </is>
      </c>
      <c r="H567" s="7" t="inlineStr">
        <is>
          <t>tests/scenarios/report-data.spec.ts</t>
        </is>
      </c>
      <c r="I567" s="8" t="inlineStr">
        <is>
          <t>Pass</t>
        </is>
      </c>
      <c r="J567" s="8" t="n"/>
      <c r="K567" s="7" t="n"/>
    </row>
    <row r="568">
      <c r="A568" s="7" t="inlineStr">
        <is>
          <t>RA-063</t>
        </is>
      </c>
      <c r="B568" s="7" t="inlineStr">
        <is>
          <t>Verify changes to underlying records are reflected in reports.</t>
        </is>
      </c>
      <c r="C568" s="7" t="inlineStr">
        <is>
          <t>Scenarios workbook</t>
        </is>
      </c>
      <c r="D568" s="7" t="inlineStr">
        <is>
          <t>Business scenarios (all pages)</t>
        </is>
      </c>
      <c r="E568" s="8" t="inlineStr">
        <is>
          <t>REQ-SC-07</t>
        </is>
      </c>
      <c r="F568" s="8" t="inlineStr">
        <is>
          <t>Medium</t>
        </is>
      </c>
      <c r="G568" s="7" t="inlineStr">
        <is>
          <t>Manual (registered, skipped)</t>
        </is>
      </c>
      <c r="H568" s="7" t="inlineStr">
        <is>
          <t>tests/scenarios/report-data.spec.ts</t>
        </is>
      </c>
      <c r="I568" s="8" t="inlineStr">
        <is>
          <t>Skipped</t>
        </is>
      </c>
      <c r="J568" s="8" t="n"/>
      <c r="K568" s="7" t="inlineStr">
        <is>
          <t>Manual: needs a record to be edited in QA and the report re-checked; the suite only reads data</t>
        </is>
      </c>
    </row>
    <row r="569">
      <c r="A569" s="7" t="inlineStr">
        <is>
          <t>RA-064</t>
        </is>
      </c>
      <c r="B569" s="7" t="inlineStr">
        <is>
          <t>Verify deleted/inactive records are handled correctly according to business rules.</t>
        </is>
      </c>
      <c r="C569" s="7" t="inlineStr">
        <is>
          <t>Scenarios workbook</t>
        </is>
      </c>
      <c r="D569" s="7" t="inlineStr">
        <is>
          <t>Business scenarios (all pages)</t>
        </is>
      </c>
      <c r="E569" s="8" t="inlineStr">
        <is>
          <t>REQ-SC-07</t>
        </is>
      </c>
      <c r="F569" s="8" t="inlineStr">
        <is>
          <t>Medium</t>
        </is>
      </c>
      <c r="G569" s="7" t="inlineStr">
        <is>
          <t>Yes</t>
        </is>
      </c>
      <c r="H569" s="7" t="inlineStr">
        <is>
          <t>tests/scenarios/report-data.spec.ts</t>
        </is>
      </c>
      <c r="I569" s="8" t="inlineStr">
        <is>
          <t>Fail</t>
        </is>
      </c>
      <c r="J569" s="8" t="inlineStr">
        <is>
          <t>DEF-06</t>
        </is>
      </c>
      <c r="K569" s="7" t="inlineStr">
        <is>
          <t>Error: Hub Active Leads</t>
        </is>
      </c>
    </row>
    <row r="570">
      <c r="A570" s="7" t="inlineStr">
        <is>
          <t>RA-065</t>
        </is>
      </c>
      <c r="B570" s="7" t="inlineStr">
        <is>
          <t>Verify duplicate records do not incorrectly inflate report counts.</t>
        </is>
      </c>
      <c r="C570" s="7" t="inlineStr">
        <is>
          <t>Scenarios workbook</t>
        </is>
      </c>
      <c r="D570" s="7" t="inlineStr">
        <is>
          <t>Business scenarios (all pages)</t>
        </is>
      </c>
      <c r="E570" s="8" t="inlineStr">
        <is>
          <t>REQ-SC-07</t>
        </is>
      </c>
      <c r="F570" s="8" t="inlineStr">
        <is>
          <t>Medium</t>
        </is>
      </c>
      <c r="G570" s="7" t="inlineStr">
        <is>
          <t>Yes</t>
        </is>
      </c>
      <c r="H570" s="7" t="inlineStr">
        <is>
          <t>tests/scenarios/report-data.spec.ts</t>
        </is>
      </c>
      <c r="I570" s="8" t="inlineStr">
        <is>
          <t>Pass</t>
        </is>
      </c>
      <c r="J570" s="8" t="n"/>
      <c r="K570" s="7" t="n"/>
    </row>
    <row r="571">
      <c r="A571" s="7" t="inlineStr">
        <is>
          <t>RA-084</t>
        </is>
      </c>
      <c r="B571" s="7" t="inlineStr">
        <is>
          <t>Verify authorised users can access Reports &amp; Analytics.</t>
        </is>
      </c>
      <c r="C571" s="7" t="inlineStr">
        <is>
          <t>Scenarios workbook</t>
        </is>
      </c>
      <c r="D571" s="7" t="inlineStr">
        <is>
          <t>Business scenarios (all pages)</t>
        </is>
      </c>
      <c r="E571" s="8" t="inlineStr">
        <is>
          <t>REQ-SC-11</t>
        </is>
      </c>
      <c r="F571" s="8" t="inlineStr">
        <is>
          <t>Medium</t>
        </is>
      </c>
      <c r="G571" s="7" t="inlineStr">
        <is>
          <t>Yes</t>
        </is>
      </c>
      <c r="H571" s="7" t="inlineStr">
        <is>
          <t>tests/scenarios/security-api.spec.ts</t>
        </is>
      </c>
      <c r="I571" s="8" t="inlineStr">
        <is>
          <t>Pass</t>
        </is>
      </c>
      <c r="J571" s="8" t="n"/>
      <c r="K571" s="7" t="n"/>
    </row>
    <row r="572">
      <c r="A572" s="7" t="inlineStr">
        <is>
          <t>RA-086</t>
        </is>
      </c>
      <c r="B572" s="7" t="inlineStr">
        <is>
          <t>Verify role-based access to individual report modules.</t>
        </is>
      </c>
      <c r="C572" s="7" t="inlineStr">
        <is>
          <t>Scenarios workbook</t>
        </is>
      </c>
      <c r="D572" s="7" t="inlineStr">
        <is>
          <t>Business scenarios (all pages)</t>
        </is>
      </c>
      <c r="E572" s="8" t="inlineStr">
        <is>
          <t>REQ-SC-11</t>
        </is>
      </c>
      <c r="F572" s="8" t="inlineStr">
        <is>
          <t>Medium</t>
        </is>
      </c>
      <c r="G572" s="7" t="inlineStr">
        <is>
          <t>Manual (registered, skipped)</t>
        </is>
      </c>
      <c r="H572" s="7" t="inlineStr">
        <is>
          <t>tests/scenarios/security-api.spec.ts</t>
        </is>
      </c>
      <c r="I572" s="8" t="inlineStr">
        <is>
          <t>Skipped</t>
        </is>
      </c>
      <c r="J572" s="8" t="n"/>
      <c r="K572" s="7" t="inlineStr">
        <is>
          <t>Manual: needs login details for users with restricted roles (only an administrator account is configured)</t>
        </is>
      </c>
    </row>
    <row r="573">
      <c r="A573" s="7" t="inlineStr">
        <is>
          <t>RA-087</t>
        </is>
      </c>
      <c r="B573" s="7" t="inlineStr">
        <is>
          <t>Verify users can only view data permitted for their role.</t>
        </is>
      </c>
      <c r="C573" s="7" t="inlineStr">
        <is>
          <t>Scenarios workbook</t>
        </is>
      </c>
      <c r="D573" s="7" t="inlineStr">
        <is>
          <t>Business scenarios (all pages)</t>
        </is>
      </c>
      <c r="E573" s="8" t="inlineStr">
        <is>
          <t>REQ-SC-11</t>
        </is>
      </c>
      <c r="F573" s="8" t="inlineStr">
        <is>
          <t>Medium</t>
        </is>
      </c>
      <c r="G573" s="7" t="inlineStr">
        <is>
          <t>Manual (registered, skipped)</t>
        </is>
      </c>
      <c r="H573" s="7" t="inlineStr">
        <is>
          <t>tests/scenarios/security-api.spec.ts</t>
        </is>
      </c>
      <c r="I573" s="8" t="inlineStr">
        <is>
          <t>Skipped</t>
        </is>
      </c>
      <c r="J573" s="8" t="n"/>
      <c r="K573" s="7" t="inlineStr">
        <is>
          <t>Manual: needs login details for users with restricted roles (only an administrator account is configured)</t>
        </is>
      </c>
    </row>
    <row r="574">
      <c r="A574" s="7" t="inlineStr">
        <is>
          <t>RA-088</t>
        </is>
      </c>
      <c r="B574" s="7" t="inlineStr">
        <is>
          <t>Verify Mine and You and your team views respect user permissions.</t>
        </is>
      </c>
      <c r="C574" s="7" t="inlineStr">
        <is>
          <t>Scenarios workbook</t>
        </is>
      </c>
      <c r="D574" s="7" t="inlineStr">
        <is>
          <t>Business scenarios (all pages)</t>
        </is>
      </c>
      <c r="E574" s="8" t="inlineStr">
        <is>
          <t>REQ-SC-11</t>
        </is>
      </c>
      <c r="F574" s="8" t="inlineStr">
        <is>
          <t>Medium</t>
        </is>
      </c>
      <c r="G574" s="7" t="inlineStr">
        <is>
          <t>Manual (registered, skipped)</t>
        </is>
      </c>
      <c r="H574" s="7" t="inlineStr">
        <is>
          <t>tests/scenarios/security-api.spec.ts</t>
        </is>
      </c>
      <c r="I574" s="8" t="inlineStr">
        <is>
          <t>Skipped</t>
        </is>
      </c>
      <c r="J574" s="8" t="n"/>
      <c r="K574" s="7" t="inlineStr">
        <is>
          <t>Manual: needs a second, non-admin user so "Mine" and "You and your team" can be compared per user</t>
        </is>
      </c>
    </row>
    <row r="575">
      <c r="A575" s="7" t="inlineStr">
        <is>
          <t>RA-089</t>
        </is>
      </c>
      <c r="B575" s="7" t="inlineStr">
        <is>
          <t>Verify restricted APIs cannot be accessed directly by unauthorised users.</t>
        </is>
      </c>
      <c r="C575" s="7" t="inlineStr">
        <is>
          <t>Scenarios workbook</t>
        </is>
      </c>
      <c r="D575" s="7" t="inlineStr">
        <is>
          <t>Business scenarios (all pages)</t>
        </is>
      </c>
      <c r="E575" s="8" t="inlineStr">
        <is>
          <t>REQ-SC-11</t>
        </is>
      </c>
      <c r="F575" s="8" t="inlineStr">
        <is>
          <t>Medium</t>
        </is>
      </c>
      <c r="G575" s="7" t="inlineStr">
        <is>
          <t>Yes</t>
        </is>
      </c>
      <c r="H575" s="7" t="inlineStr">
        <is>
          <t>tests/scenarios/security-api.spec.ts</t>
        </is>
      </c>
      <c r="I575" s="8" t="inlineStr">
        <is>
          <t>Pass</t>
        </is>
      </c>
      <c r="J575" s="8" t="n"/>
      <c r="K575" s="7" t="n"/>
    </row>
    <row r="576">
      <c r="A576" s="7" t="inlineStr">
        <is>
          <t>RA-090</t>
        </is>
      </c>
      <c r="B576" s="7" t="inlineStr">
        <is>
          <t>Verify session expiry and logout behaviour.</t>
        </is>
      </c>
      <c r="C576" s="7" t="inlineStr">
        <is>
          <t>Scenarios workbook</t>
        </is>
      </c>
      <c r="D576" s="7" t="inlineStr">
        <is>
          <t>Business scenarios (all pages)</t>
        </is>
      </c>
      <c r="E576" s="8" t="inlineStr">
        <is>
          <t>REQ-SC-11</t>
        </is>
      </c>
      <c r="F576" s="8" t="inlineStr">
        <is>
          <t>Medium</t>
        </is>
      </c>
      <c r="G576" s="7" t="inlineStr">
        <is>
          <t>Yes</t>
        </is>
      </c>
      <c r="H576" s="7" t="inlineStr">
        <is>
          <t>tests/scenarios/security-api.spec.ts</t>
        </is>
      </c>
      <c r="I576" s="8" t="inlineStr">
        <is>
          <t>Pass</t>
        </is>
      </c>
      <c r="J576" s="8" t="n"/>
      <c r="K576" s="7" t="n"/>
    </row>
    <row r="577">
      <c r="A577" s="7" t="inlineStr">
        <is>
          <t>RA-091</t>
        </is>
      </c>
      <c r="B577" s="7" t="inlineStr">
        <is>
          <t>Verify sensitive report data is not exposed through unauthorised access.</t>
        </is>
      </c>
      <c r="C577" s="7" t="inlineStr">
        <is>
          <t>Scenarios workbook</t>
        </is>
      </c>
      <c r="D577" s="7" t="inlineStr">
        <is>
          <t>Business scenarios (all pages)</t>
        </is>
      </c>
      <c r="E577" s="8" t="inlineStr">
        <is>
          <t>REQ-SC-11</t>
        </is>
      </c>
      <c r="F577" s="8" t="inlineStr">
        <is>
          <t>Medium</t>
        </is>
      </c>
      <c r="G577" s="7" t="inlineStr">
        <is>
          <t>Yes</t>
        </is>
      </c>
      <c r="H577" s="7" t="inlineStr">
        <is>
          <t>tests/scenarios/security-api.spec.ts</t>
        </is>
      </c>
      <c r="I577" s="8" t="inlineStr">
        <is>
          <t>Pass</t>
        </is>
      </c>
      <c r="J577" s="8" t="n"/>
      <c r="K577" s="7" t="n"/>
    </row>
    <row r="578">
      <c r="A578" s="7" t="inlineStr">
        <is>
          <t>RA-085</t>
        </is>
      </c>
      <c r="B578" s="7" t="inlineStr">
        <is>
          <t>Verify unauthorised users cannot access restricted reports.</t>
        </is>
      </c>
      <c r="C578" s="7" t="inlineStr">
        <is>
          <t>Scenarios workbook</t>
        </is>
      </c>
      <c r="D578" s="7" t="inlineStr">
        <is>
          <t>Business scenarios (all pages)</t>
        </is>
      </c>
      <c r="E578" s="8" t="inlineStr">
        <is>
          <t>REQ-SC-11</t>
        </is>
      </c>
      <c r="F578" s="8" t="inlineStr">
        <is>
          <t>Medium</t>
        </is>
      </c>
      <c r="G578" s="7" t="inlineStr">
        <is>
          <t>Yes</t>
        </is>
      </c>
      <c r="H578" s="7" t="inlineStr">
        <is>
          <t>tests/scenarios/security-api.spec.ts</t>
        </is>
      </c>
      <c r="I578" s="8" t="inlineStr">
        <is>
          <t>Pass</t>
        </is>
      </c>
      <c r="J578" s="8" t="n"/>
      <c r="K578" s="7" t="n"/>
    </row>
    <row r="579">
      <c r="A579" s="7" t="inlineStr">
        <is>
          <t>RA-092</t>
        </is>
      </c>
      <c r="B579" s="7" t="inlineStr">
        <is>
          <t>Verify successful API responses populate the UI correctly.</t>
        </is>
      </c>
      <c r="C579" s="7" t="inlineStr">
        <is>
          <t>Scenarios workbook</t>
        </is>
      </c>
      <c r="D579" s="7" t="inlineStr">
        <is>
          <t>Business scenarios (all pages)</t>
        </is>
      </c>
      <c r="E579" s="8" t="inlineStr">
        <is>
          <t>REQ-SC-12</t>
        </is>
      </c>
      <c r="F579" s="8" t="inlineStr">
        <is>
          <t>Medium</t>
        </is>
      </c>
      <c r="G579" s="7" t="inlineStr">
        <is>
          <t>Yes</t>
        </is>
      </c>
      <c r="H579" s="7" t="inlineStr">
        <is>
          <t>tests/scenarios/security-api.spec.ts</t>
        </is>
      </c>
      <c r="I579" s="8" t="inlineStr">
        <is>
          <t>Pass</t>
        </is>
      </c>
      <c r="J579" s="8" t="n"/>
      <c r="K579" s="7" t="n"/>
    </row>
    <row r="580">
      <c r="A580" s="7" t="inlineStr">
        <is>
          <t>RA-093</t>
        </is>
      </c>
      <c r="B580" s="7" t="inlineStr">
        <is>
          <t>Verify failed API calls display an appropriate error message.</t>
        </is>
      </c>
      <c r="C580" s="7" t="inlineStr">
        <is>
          <t>Scenarios workbook</t>
        </is>
      </c>
      <c r="D580" s="7" t="inlineStr">
        <is>
          <t>Business scenarios (all pages)</t>
        </is>
      </c>
      <c r="E580" s="8" t="inlineStr">
        <is>
          <t>REQ-SC-12</t>
        </is>
      </c>
      <c r="F580" s="8" t="inlineStr">
        <is>
          <t>Medium</t>
        </is>
      </c>
      <c r="G580" s="7" t="inlineStr">
        <is>
          <t>Yes</t>
        </is>
      </c>
      <c r="H580" s="7" t="inlineStr">
        <is>
          <t>tests/scenarios/security-api.spec.ts</t>
        </is>
      </c>
      <c r="I580" s="8" t="inlineStr">
        <is>
          <t>Pass</t>
        </is>
      </c>
      <c r="J580" s="8" t="n"/>
      <c r="K580" s="7" t="n"/>
    </row>
    <row r="581">
      <c r="A581" s="7" t="inlineStr">
        <is>
          <t>RA-094</t>
        </is>
      </c>
      <c r="B581" s="7" t="inlineStr">
        <is>
          <t>Verify API timeout scenarios are handled correctly.</t>
        </is>
      </c>
      <c r="C581" s="7" t="inlineStr">
        <is>
          <t>Scenarios workbook</t>
        </is>
      </c>
      <c r="D581" s="7" t="inlineStr">
        <is>
          <t>Business scenarios (all pages)</t>
        </is>
      </c>
      <c r="E581" s="8" t="inlineStr">
        <is>
          <t>REQ-SC-12</t>
        </is>
      </c>
      <c r="F581" s="8" t="inlineStr">
        <is>
          <t>Medium</t>
        </is>
      </c>
      <c r="G581" s="7" t="inlineStr">
        <is>
          <t>Yes</t>
        </is>
      </c>
      <c r="H581" s="7" t="inlineStr">
        <is>
          <t>tests/scenarios/security-api.spec.ts</t>
        </is>
      </c>
      <c r="I581" s="8" t="inlineStr">
        <is>
          <t>Pass</t>
        </is>
      </c>
      <c r="J581" s="8" t="n"/>
      <c r="K581" s="7" t="n"/>
    </row>
    <row r="582">
      <c r="A582" s="7" t="inlineStr">
        <is>
          <t>RA-095</t>
        </is>
      </c>
      <c r="B582" s="7" t="inlineStr">
        <is>
          <t>Verify partial API responses do not cause incorrect KPI values.</t>
        </is>
      </c>
      <c r="C582" s="7" t="inlineStr">
        <is>
          <t>Scenarios workbook</t>
        </is>
      </c>
      <c r="D582" s="7" t="inlineStr">
        <is>
          <t>Business scenarios (all pages)</t>
        </is>
      </c>
      <c r="E582" s="8" t="inlineStr">
        <is>
          <t>REQ-SC-12</t>
        </is>
      </c>
      <c r="F582" s="8" t="inlineStr">
        <is>
          <t>Medium</t>
        </is>
      </c>
      <c r="G582" s="7" t="inlineStr">
        <is>
          <t>Yes</t>
        </is>
      </c>
      <c r="H582" s="7" t="inlineStr">
        <is>
          <t>tests/scenarios/security-api.spec.ts</t>
        </is>
      </c>
      <c r="I582" s="8" t="inlineStr">
        <is>
          <t>Fail</t>
        </is>
      </c>
      <c r="J582" s="8" t="inlineStr">
        <is>
          <t>DEF-10</t>
        </is>
      </c>
      <c r="K582" s="7" t="inlineStr">
        <is>
          <t>Error: Sales: the app crashed to its error screen</t>
        </is>
      </c>
    </row>
    <row r="583">
      <c r="A583" s="7" t="inlineStr">
        <is>
          <t>RA-096</t>
        </is>
      </c>
      <c r="B583" s="7" t="inlineStr">
        <is>
          <t>Verify JavaScript errors do not occur during normal report usage.</t>
        </is>
      </c>
      <c r="C583" s="7" t="inlineStr">
        <is>
          <t>Scenarios workbook</t>
        </is>
      </c>
      <c r="D583" s="7" t="inlineStr">
        <is>
          <t>Business scenarios (all pages)</t>
        </is>
      </c>
      <c r="E583" s="8" t="inlineStr">
        <is>
          <t>REQ-SC-12</t>
        </is>
      </c>
      <c r="F583" s="8" t="inlineStr">
        <is>
          <t>Medium</t>
        </is>
      </c>
      <c r="G583" s="7" t="inlineStr">
        <is>
          <t>Yes</t>
        </is>
      </c>
      <c r="H583" s="7" t="inlineStr">
        <is>
          <t>tests/scenarios/security-api.spec.ts</t>
        </is>
      </c>
      <c r="I583" s="8" t="inlineStr">
        <is>
          <t>Pass</t>
        </is>
      </c>
      <c r="J583" s="8" t="n"/>
      <c r="K583" s="7" t="n"/>
    </row>
    <row r="584">
      <c r="A584" s="7" t="inlineStr">
        <is>
          <t>RA-097</t>
        </is>
      </c>
      <c r="B584" s="7" t="inlineStr">
        <is>
          <t>Verify the page handles unavailable/empty API responses correctly.</t>
        </is>
      </c>
      <c r="C584" s="7" t="inlineStr">
        <is>
          <t>Scenarios workbook</t>
        </is>
      </c>
      <c r="D584" s="7" t="inlineStr">
        <is>
          <t>Business scenarios (all pages)</t>
        </is>
      </c>
      <c r="E584" s="8" t="inlineStr">
        <is>
          <t>REQ-SC-12</t>
        </is>
      </c>
      <c r="F584" s="8" t="inlineStr">
        <is>
          <t>Medium</t>
        </is>
      </c>
      <c r="G584" s="7" t="inlineStr">
        <is>
          <t>Yes</t>
        </is>
      </c>
      <c r="H584" s="7" t="inlineStr">
        <is>
          <t>tests/scenarios/security-api.spec.ts</t>
        </is>
      </c>
      <c r="I584" s="8" t="inlineStr">
        <is>
          <t>Fail</t>
        </is>
      </c>
      <c r="J584" s="8" t="inlineStr">
        <is>
          <t>DEF-10</t>
        </is>
      </c>
      <c r="K584" s="7" t="inlineStr">
        <is>
          <t>Error: {}: report shows KPI cards or an empty-state message</t>
        </is>
      </c>
    </row>
    <row r="585">
      <c r="A585" s="7" t="inlineStr">
        <is>
          <t>RA-098</t>
        </is>
      </c>
      <c r="B585" s="7" t="inlineStr">
        <is>
          <t>Verify retry/refresh behaviour after an API failure.</t>
        </is>
      </c>
      <c r="C585" s="7" t="inlineStr">
        <is>
          <t>Scenarios workbook</t>
        </is>
      </c>
      <c r="D585" s="7" t="inlineStr">
        <is>
          <t>Business scenarios (all pages)</t>
        </is>
      </c>
      <c r="E585" s="8" t="inlineStr">
        <is>
          <t>REQ-SC-12</t>
        </is>
      </c>
      <c r="F585" s="8" t="inlineStr">
        <is>
          <t>Medium</t>
        </is>
      </c>
      <c r="G585" s="7" t="inlineStr">
        <is>
          <t>Yes</t>
        </is>
      </c>
      <c r="H585" s="7" t="inlineStr">
        <is>
          <t>tests/scenarios/security-api.spec.ts</t>
        </is>
      </c>
      <c r="I585" s="8" t="inlineStr">
        <is>
          <t>Pass</t>
        </is>
      </c>
      <c r="J585" s="8" t="n"/>
      <c r="K585" s="7" t="n"/>
    </row>
    <row r="586">
      <c r="A586" s="7" t="inlineStr">
        <is>
          <t>RA-112</t>
        </is>
      </c>
      <c r="B586" s="7" t="inlineStr">
        <is>
          <t>Verify functionality on Chromium-based browsers.</t>
        </is>
      </c>
      <c r="C586" s="7" t="inlineStr">
        <is>
          <t>Scenarios workbook</t>
        </is>
      </c>
      <c r="D586" s="7" t="inlineStr">
        <is>
          <t>Business scenarios (all pages)</t>
        </is>
      </c>
      <c r="E586" s="8" t="inlineStr">
        <is>
          <t>REQ-SC-15</t>
        </is>
      </c>
      <c r="F586" s="8" t="inlineStr">
        <is>
          <t>Medium</t>
        </is>
      </c>
      <c r="G586" s="7" t="inlineStr">
        <is>
          <t>Yes</t>
        </is>
      </c>
      <c r="H586" s="7" t="inlineStr">
        <is>
          <t>tests/scenarios/ui-accessibility.spec.ts</t>
        </is>
      </c>
      <c r="I586" s="8" t="inlineStr">
        <is>
          <t>Pass</t>
        </is>
      </c>
      <c r="J586" s="8" t="n"/>
      <c r="K586" s="7" t="n"/>
    </row>
    <row r="587">
      <c r="A587" s="7" t="inlineStr">
        <is>
          <t>RA-113</t>
        </is>
      </c>
      <c r="B587" s="7" t="inlineStr">
        <is>
          <t>Verify functionality on other supported browsers.</t>
        </is>
      </c>
      <c r="C587" s="7" t="inlineStr">
        <is>
          <t>Scenarios workbook</t>
        </is>
      </c>
      <c r="D587" s="7" t="inlineStr">
        <is>
          <t>Business scenarios (all pages)</t>
        </is>
      </c>
      <c r="E587" s="8" t="inlineStr">
        <is>
          <t>REQ-SC-15</t>
        </is>
      </c>
      <c r="F587" s="8" t="inlineStr">
        <is>
          <t>Medium</t>
        </is>
      </c>
      <c r="G587" s="7" t="inlineStr">
        <is>
          <t>Yes</t>
        </is>
      </c>
      <c r="H587" s="7" t="inlineStr">
        <is>
          <t>tests/scenarios/ui-accessibility.spec.ts</t>
        </is>
      </c>
      <c r="I587" s="8" t="inlineStr">
        <is>
          <t>Skipped</t>
        </is>
      </c>
      <c r="J587" s="8" t="n"/>
      <c r="K587" s="7" t="inlineStr">
        <is>
          <t>Firefox and WebKit are not installed</t>
        </is>
      </c>
    </row>
    <row r="588">
      <c r="A588" s="7" t="inlineStr">
        <is>
          <t>RA-114</t>
        </is>
      </c>
      <c r="B588" s="7" t="inlineStr">
        <is>
          <t>Verify desktop layout at the defined resolution.</t>
        </is>
      </c>
      <c r="C588" s="7" t="inlineStr">
        <is>
          <t>Scenarios workbook</t>
        </is>
      </c>
      <c r="D588" s="7" t="inlineStr">
        <is>
          <t>Business scenarios (all pages)</t>
        </is>
      </c>
      <c r="E588" s="8" t="inlineStr">
        <is>
          <t>REQ-SC-15</t>
        </is>
      </c>
      <c r="F588" s="8" t="inlineStr">
        <is>
          <t>Medium</t>
        </is>
      </c>
      <c r="G588" s="7" t="inlineStr">
        <is>
          <t>Yes</t>
        </is>
      </c>
      <c r="H588" s="7" t="inlineStr">
        <is>
          <t>tests/scenarios/ui-accessibility.spec.ts</t>
        </is>
      </c>
      <c r="I588" s="8" t="inlineStr">
        <is>
          <t>Pass</t>
        </is>
      </c>
      <c r="J588" s="8" t="n"/>
      <c r="K588" s="7" t="n"/>
    </row>
    <row r="589">
      <c r="A589" s="7" t="inlineStr">
        <is>
          <t>RA-115</t>
        </is>
      </c>
      <c r="B589" s="7" t="inlineStr">
        <is>
          <t>Verify tablet/responsive layout.</t>
        </is>
      </c>
      <c r="C589" s="7" t="inlineStr">
        <is>
          <t>Scenarios workbook</t>
        </is>
      </c>
      <c r="D589" s="7" t="inlineStr">
        <is>
          <t>Business scenarios (all pages)</t>
        </is>
      </c>
      <c r="E589" s="8" t="inlineStr">
        <is>
          <t>REQ-SC-15</t>
        </is>
      </c>
      <c r="F589" s="8" t="inlineStr">
        <is>
          <t>Medium</t>
        </is>
      </c>
      <c r="G589" s="7" t="inlineStr">
        <is>
          <t>Yes</t>
        </is>
      </c>
      <c r="H589" s="7" t="inlineStr">
        <is>
          <t>tests/scenarios/ui-accessibility.spec.ts</t>
        </is>
      </c>
      <c r="I589" s="8" t="inlineStr">
        <is>
          <t>Pass</t>
        </is>
      </c>
      <c r="J589" s="8" t="n"/>
      <c r="K589" s="7" t="n"/>
    </row>
    <row r="590">
      <c r="A590" s="7" t="inlineStr">
        <is>
          <t>RA-116</t>
        </is>
      </c>
      <c r="B590" s="7" t="inlineStr">
        <is>
          <t>Verify mobile layout.</t>
        </is>
      </c>
      <c r="C590" s="7" t="inlineStr">
        <is>
          <t>Scenarios workbook</t>
        </is>
      </c>
      <c r="D590" s="7" t="inlineStr">
        <is>
          <t>Business scenarios (all pages)</t>
        </is>
      </c>
      <c r="E590" s="8" t="inlineStr">
        <is>
          <t>REQ-SC-15</t>
        </is>
      </c>
      <c r="F590" s="8" t="inlineStr">
        <is>
          <t>Medium</t>
        </is>
      </c>
      <c r="G590" s="7" t="inlineStr">
        <is>
          <t>Yes</t>
        </is>
      </c>
      <c r="H590" s="7" t="inlineStr">
        <is>
          <t>tests/scenarios/ui-accessibility.spec.ts</t>
        </is>
      </c>
      <c r="I590" s="8" t="inlineStr">
        <is>
          <t>Pass</t>
        </is>
      </c>
      <c r="J590" s="8" t="n"/>
      <c r="K590" s="7" t="n"/>
    </row>
    <row r="591">
      <c r="A591" s="7" t="inlineStr">
        <is>
          <t>RA-117</t>
        </is>
      </c>
      <c r="B591" s="7" t="inlineStr">
        <is>
          <t>Verify tables, filters and buttons remain usable at different screen sizes.</t>
        </is>
      </c>
      <c r="C591" s="7" t="inlineStr">
        <is>
          <t>Scenarios workbook</t>
        </is>
      </c>
      <c r="D591" s="7" t="inlineStr">
        <is>
          <t>Business scenarios (all pages)</t>
        </is>
      </c>
      <c r="E591" s="8" t="inlineStr">
        <is>
          <t>REQ-SC-15</t>
        </is>
      </c>
      <c r="F591" s="8" t="inlineStr">
        <is>
          <t>Medium</t>
        </is>
      </c>
      <c r="G591" s="7" t="inlineStr">
        <is>
          <t>Yes</t>
        </is>
      </c>
      <c r="H591" s="7" t="inlineStr">
        <is>
          <t>tests/scenarios/ui-accessibility.spec.ts</t>
        </is>
      </c>
      <c r="I591" s="8" t="inlineStr">
        <is>
          <t>Pass</t>
        </is>
      </c>
      <c r="J591" s="8" t="n"/>
      <c r="K591" s="7" t="n"/>
    </row>
    <row r="592">
      <c r="A592" s="7" t="inlineStr">
        <is>
          <t>RA-118</t>
        </is>
      </c>
      <c r="B592" s="7" t="inlineStr">
        <is>
          <t>Verify no content is cut off or overlaps.</t>
        </is>
      </c>
      <c r="C592" s="7" t="inlineStr">
        <is>
          <t>Scenarios workbook</t>
        </is>
      </c>
      <c r="D592" s="7" t="inlineStr">
        <is>
          <t>Business scenarios (all pages)</t>
        </is>
      </c>
      <c r="E592" s="8" t="inlineStr">
        <is>
          <t>REQ-SC-15</t>
        </is>
      </c>
      <c r="F592" s="8" t="inlineStr">
        <is>
          <t>Medium</t>
        </is>
      </c>
      <c r="G592" s="7" t="inlineStr">
        <is>
          <t>Yes</t>
        </is>
      </c>
      <c r="H592" s="7" t="inlineStr">
        <is>
          <t>tests/scenarios/ui-accessibility.spec.ts</t>
        </is>
      </c>
      <c r="I592" s="8" t="inlineStr">
        <is>
          <t>Pass</t>
        </is>
      </c>
      <c r="J592" s="8" t="n"/>
      <c r="K592" s="7" t="n"/>
    </row>
    <row r="593">
      <c r="A593" s="7" t="inlineStr">
        <is>
          <t>RA-119</t>
        </is>
      </c>
      <c r="B593" s="7" t="inlineStr">
        <is>
          <t>Verify keyboard navigation across the page.</t>
        </is>
      </c>
      <c r="C593" s="7" t="inlineStr">
        <is>
          <t>Scenarios workbook</t>
        </is>
      </c>
      <c r="D593" s="7" t="inlineStr">
        <is>
          <t>Business scenarios (all pages)</t>
        </is>
      </c>
      <c r="E593" s="8" t="inlineStr">
        <is>
          <t>REQ-SC-16</t>
        </is>
      </c>
      <c r="F593" s="8" t="inlineStr">
        <is>
          <t>Medium</t>
        </is>
      </c>
      <c r="G593" s="7" t="inlineStr">
        <is>
          <t>Yes</t>
        </is>
      </c>
      <c r="H593" s="7" t="inlineStr">
        <is>
          <t>tests/scenarios/ui-accessibility.spec.ts</t>
        </is>
      </c>
      <c r="I593" s="8" t="inlineStr">
        <is>
          <t>Pass</t>
        </is>
      </c>
      <c r="J593" s="8" t="n"/>
      <c r="K593" s="7" t="n"/>
    </row>
    <row r="594">
      <c r="A594" s="7" t="inlineStr">
        <is>
          <t>RA-120</t>
        </is>
      </c>
      <c r="B594" s="7" t="inlineStr">
        <is>
          <t>Verify form fields and filters have appropriate labels.</t>
        </is>
      </c>
      <c r="C594" s="7" t="inlineStr">
        <is>
          <t>Scenarios workbook</t>
        </is>
      </c>
      <c r="D594" s="7" t="inlineStr">
        <is>
          <t>Business scenarios (all pages)</t>
        </is>
      </c>
      <c r="E594" s="8" t="inlineStr">
        <is>
          <t>REQ-SC-16</t>
        </is>
      </c>
      <c r="F594" s="8" t="inlineStr">
        <is>
          <t>Medium</t>
        </is>
      </c>
      <c r="G594" s="7" t="inlineStr">
        <is>
          <t>Yes</t>
        </is>
      </c>
      <c r="H594" s="7" t="inlineStr">
        <is>
          <t>tests/scenarios/ui-accessibility.spec.ts</t>
        </is>
      </c>
      <c r="I594" s="8" t="inlineStr">
        <is>
          <t>Fail</t>
        </is>
      </c>
      <c r="J594" s="8" t="inlineStr">
        <is>
          <t>DEF-11</t>
        </is>
      </c>
      <c r="K594" s="7" t="inlineStr">
        <is>
          <t>Error: Controls without a label</t>
        </is>
      </c>
    </row>
    <row r="595">
      <c r="A595" s="7" t="inlineStr">
        <is>
          <t>RA-121</t>
        </is>
      </c>
      <c r="B595" s="7" t="inlineStr">
        <is>
          <t>Verify buttons and links are accessible.</t>
        </is>
      </c>
      <c r="C595" s="7" t="inlineStr">
        <is>
          <t>Scenarios workbook</t>
        </is>
      </c>
      <c r="D595" s="7" t="inlineStr">
        <is>
          <t>Business scenarios (all pages)</t>
        </is>
      </c>
      <c r="E595" s="8" t="inlineStr">
        <is>
          <t>REQ-SC-16</t>
        </is>
      </c>
      <c r="F595" s="8" t="inlineStr">
        <is>
          <t>Medium</t>
        </is>
      </c>
      <c r="G595" s="7" t="inlineStr">
        <is>
          <t>Yes</t>
        </is>
      </c>
      <c r="H595" s="7" t="inlineStr">
        <is>
          <t>tests/scenarios/ui-accessibility.spec.ts</t>
        </is>
      </c>
      <c r="I595" s="8" t="inlineStr">
        <is>
          <t>Pass</t>
        </is>
      </c>
      <c r="J595" s="8" t="n"/>
      <c r="K595" s="7" t="n"/>
    </row>
    <row r="596">
      <c r="A596" s="7" t="inlineStr">
        <is>
          <t>RA-122</t>
        </is>
      </c>
      <c r="B596" s="7" t="inlineStr">
        <is>
          <t>Verify text readability and contrast.</t>
        </is>
      </c>
      <c r="C596" s="7" t="inlineStr">
        <is>
          <t>Scenarios workbook</t>
        </is>
      </c>
      <c r="D596" s="7" t="inlineStr">
        <is>
          <t>Business scenarios (all pages)</t>
        </is>
      </c>
      <c r="E596" s="8" t="inlineStr">
        <is>
          <t>REQ-SC-16</t>
        </is>
      </c>
      <c r="F596" s="8" t="inlineStr">
        <is>
          <t>Medium</t>
        </is>
      </c>
      <c r="G596" s="7" t="inlineStr">
        <is>
          <t>Yes</t>
        </is>
      </c>
      <c r="H596" s="7" t="inlineStr">
        <is>
          <t>tests/scenarios/ui-accessibility.spec.ts</t>
        </is>
      </c>
      <c r="I596" s="8" t="inlineStr">
        <is>
          <t>Fail</t>
        </is>
      </c>
      <c r="J596" s="8" t="inlineStr">
        <is>
          <t>DEF-11</t>
        </is>
      </c>
      <c r="K596" s="7" t="inlineStr">
        <is>
          <t>Error: Low-contrast text</t>
        </is>
      </c>
    </row>
    <row r="597">
      <c r="A597" s="7" t="inlineStr">
        <is>
          <t>RA-123</t>
        </is>
      </c>
      <c r="B597" s="7" t="inlineStr">
        <is>
          <t>Verify screen-reader relevant labels where applicable.</t>
        </is>
      </c>
      <c r="C597" s="7" t="inlineStr">
        <is>
          <t>Scenarios workbook</t>
        </is>
      </c>
      <c r="D597" s="7" t="inlineStr">
        <is>
          <t>Business scenarios (all pages)</t>
        </is>
      </c>
      <c r="E597" s="8" t="inlineStr">
        <is>
          <t>REQ-SC-16</t>
        </is>
      </c>
      <c r="F597" s="8" t="inlineStr">
        <is>
          <t>Medium</t>
        </is>
      </c>
      <c r="G597" s="7" t="inlineStr">
        <is>
          <t>Yes</t>
        </is>
      </c>
      <c r="H597" s="7" t="inlineStr">
        <is>
          <t>tests/scenarios/ui-accessibility.spec.ts</t>
        </is>
      </c>
      <c r="I597" s="8" t="inlineStr">
        <is>
          <t>Fail</t>
        </is>
      </c>
      <c r="J597" s="8" t="inlineStr">
        <is>
          <t>DEF-11</t>
        </is>
      </c>
      <c r="K597" s="7" t="inlineStr">
        <is>
          <t>Error: Screen-reader issues</t>
        </is>
      </c>
    </row>
    <row r="598">
      <c r="A598" s="7" t="inlineStr">
        <is>
          <t>RA-124</t>
        </is>
      </c>
      <c r="B598" s="7" t="inlineStr">
        <is>
          <t>Verify error messages are clearly visible.</t>
        </is>
      </c>
      <c r="C598" s="7" t="inlineStr">
        <is>
          <t>Scenarios workbook</t>
        </is>
      </c>
      <c r="D598" s="7" t="inlineStr">
        <is>
          <t>Business scenarios (all pages)</t>
        </is>
      </c>
      <c r="E598" s="8" t="inlineStr">
        <is>
          <t>REQ-SC-16</t>
        </is>
      </c>
      <c r="F598" s="8" t="inlineStr">
        <is>
          <t>Medium</t>
        </is>
      </c>
      <c r="G598" s="7" t="inlineStr">
        <is>
          <t>Yes</t>
        </is>
      </c>
      <c r="H598" s="7" t="inlineStr">
        <is>
          <t>tests/scenarios/ui-accessibility.spec.ts</t>
        </is>
      </c>
      <c r="I598" s="8" t="inlineStr">
        <is>
          <t>Fail</t>
        </is>
      </c>
      <c r="J598" s="8" t="inlineStr">
        <is>
          <t>DEF-11</t>
        </is>
      </c>
      <c r="K598" s="7" t="inlineStr">
        <is>
          <t>Error: Announced to screen readers (role=alert / aria-live)</t>
        </is>
      </c>
    </row>
    <row r="599">
      <c r="A599" s="7" t="inlineStr">
        <is>
          <t>RA-125</t>
        </is>
      </c>
      <c r="B599" s="7" t="inlineStr">
        <is>
          <t>Verify consistent alignment, spacing and typography.</t>
        </is>
      </c>
      <c r="C599" s="7" t="inlineStr">
        <is>
          <t>Scenarios workbook</t>
        </is>
      </c>
      <c r="D599" s="7" t="inlineStr">
        <is>
          <t>Business scenarios (all pages)</t>
        </is>
      </c>
      <c r="E599" s="8" t="inlineStr">
        <is>
          <t>REQ-SC-16</t>
        </is>
      </c>
      <c r="F599" s="8" t="inlineStr">
        <is>
          <t>Medium</t>
        </is>
      </c>
      <c r="G599" s="7" t="inlineStr">
        <is>
          <t>Yes</t>
        </is>
      </c>
      <c r="H599" s="7" t="inlineStr">
        <is>
          <t>tests/scenarios/ui-accessibility.spec.ts</t>
        </is>
      </c>
      <c r="I599" s="8" t="inlineStr">
        <is>
          <t>Pass</t>
        </is>
      </c>
      <c r="J599" s="8" t="n"/>
      <c r="K599" s="7" t="n"/>
    </row>
    <row r="600">
      <c r="A600" s="7" t="inlineStr">
        <is>
          <t>RA-126</t>
        </is>
      </c>
      <c r="B600" s="7" t="inlineStr">
        <is>
          <t>Verify KPI cards, module cards, buttons and filters follow the approved UI design.</t>
        </is>
      </c>
      <c r="C600" s="7" t="inlineStr">
        <is>
          <t>Scenarios workbook</t>
        </is>
      </c>
      <c r="D600" s="7" t="inlineStr">
        <is>
          <t>Business scenarios (all pages)</t>
        </is>
      </c>
      <c r="E600" s="8" t="inlineStr">
        <is>
          <t>REQ-SC-16</t>
        </is>
      </c>
      <c r="F600" s="8" t="inlineStr">
        <is>
          <t>Medium</t>
        </is>
      </c>
      <c r="G600" s="7" t="inlineStr">
        <is>
          <t>Manual (registered, skipped)</t>
        </is>
      </c>
      <c r="H600" s="7" t="inlineStr">
        <is>
          <t>tests/scenarios/ui-accessibility.spec.ts</t>
        </is>
      </c>
      <c r="I600" s="8" t="inlineStr">
        <is>
          <t>Skipped</t>
        </is>
      </c>
      <c r="J600" s="8" t="n"/>
      <c r="K600" s="7" t="inlineStr">
        <is>
          <t>Manual: needs the approved UI design (Figma or screenshots) to compare against</t>
        </is>
      </c>
    </row>
  </sheetData>
  <autoFilter ref="A1:K600"/>
  <conditionalFormatting sqref="I2:I600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"Skipped"</formula>
    </cfRule>
    <cfRule type="cellIs" priority="4" operator="equal" dxfId="2">
      <formula>"Not run"</formula>
    </cfRule>
    <cfRule type="cellIs" priority="5" operator="equal" dxfId="0">
      <formula>"Partly failing"</formula>
    </cfRule>
  </conditionalFormatting>
  <dataValidations count="1">
    <dataValidation sqref="I2:I600" showDropDown="0" showInputMessage="0" showErrorMessage="0" allowBlank="1" type="list">
      <formula1>"Pass,Fail,Skipped,Not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40" customWidth="1" min="4" max="4"/>
    <col width="30" customWidth="1" min="5" max="5"/>
    <col width="14" customWidth="1" min="6" max="6"/>
    <col width="22" customWidth="1" min="7" max="7"/>
  </cols>
  <sheetData>
    <row r="1">
      <c r="A1" s="6" t="inlineStr">
        <is>
          <t>Defect ID</t>
        </is>
      </c>
      <c r="B1" s="6" t="inlineStr">
        <is>
          <t>Defect</t>
        </is>
      </c>
      <c r="C1" s="6" t="inlineStr">
        <is>
          <t>Severity</t>
        </is>
      </c>
      <c r="D1" s="6" t="inlineStr">
        <is>
          <t>Linked test cases</t>
        </is>
      </c>
      <c r="E1" s="6" t="inlineStr">
        <is>
          <t>Linked requirements</t>
        </is>
      </c>
      <c r="F1" s="6" t="inlineStr">
        <is>
          <t>Failing tests in this run</t>
        </is>
      </c>
      <c r="G1" s="6" t="inlineStr">
        <is>
          <t>Status in this run</t>
        </is>
      </c>
    </row>
    <row r="2">
      <c r="A2" s="8" t="inlineStr">
        <is>
          <t>DEF-01</t>
        </is>
      </c>
      <c r="B2" s="7" t="inlineStr">
        <is>
          <t>Report modules open on "Last 12 months" instead of "This month" (product decision pending)</t>
        </is>
      </c>
      <c r="C2" s="8" t="inlineStr">
        <is>
          <t>Medium</t>
        </is>
      </c>
      <c r="D2" s="7" t="inlineStr">
        <is>
          <t>SAL-05, INV-05, CUS-05, BRK-05, MKT-05, RES-05, SPA-05, COL-05, EXC-05, LDR-05, RA-013, LR-017, LR-OBS-01</t>
        </is>
      </c>
      <c r="E2" s="7" t="inlineStr">
        <is>
          <t>REQ-BRK-03, REQ-COL-03, REQ-CUS-03, REQ-EXC-03, REQ-INV-03, REQ-LR-02, REQ-LR-16, REQ-MKT-03, REQ-RES-03, REQ-SAL-03, REQ-SC-02, REQ-SPA-03</t>
        </is>
      </c>
      <c r="F2" s="8">
        <f>COUNTIFS('Test Case Mapping'!$J$2:$J$600,"*"&amp;A2&amp;"*",'Test Case Mapping'!$I$2:$I$600,"Fail")</f>
        <v/>
      </c>
      <c r="G2" s="8">
        <f>IF(F2&gt;0,"Open (reproduced)","Not reproduced")</f>
        <v/>
      </c>
    </row>
    <row r="3">
      <c r="A3" s="8" t="inlineStr">
        <is>
          <t>DEF-02</t>
        </is>
      </c>
      <c r="B3" s="7" t="inlineStr">
        <is>
          <t>Open Opportunities: hub / dashboard value differs from Sales Reports</t>
        </is>
      </c>
      <c r="C3" s="8" t="inlineStr">
        <is>
          <t>High</t>
        </is>
      </c>
      <c r="D3" s="7" t="inlineStr">
        <is>
          <t>X-02, RA-002, RA-059</t>
        </is>
      </c>
      <c r="E3" s="7" t="inlineStr">
        <is>
          <t>REQ-SC-01, REQ-SC-06, REQ-X-01</t>
        </is>
      </c>
      <c r="F3" s="8">
        <f>COUNTIFS('Test Case Mapping'!$J$2:$J$600,"*"&amp;A3&amp;"*",'Test Case Mapping'!$I$2:$I$600,"Fail")</f>
        <v/>
      </c>
      <c r="G3" s="8">
        <f>IF(F3&gt;0,"Open (reproduced)","Not reproduced")</f>
        <v/>
      </c>
    </row>
    <row r="4">
      <c r="A4" s="8" t="inlineStr">
        <is>
          <t>DEF-03</t>
        </is>
      </c>
      <c r="B4" s="7" t="inlineStr">
        <is>
          <t>Pipeline and Weighted pipeline: hub value differs from Sales Reports</t>
        </is>
      </c>
      <c r="C4" s="8" t="inlineStr">
        <is>
          <t>High</t>
        </is>
      </c>
      <c r="D4" s="7" t="inlineStr">
        <is>
          <t>X-03, X-04, RA-006, RA-007</t>
        </is>
      </c>
      <c r="E4" s="7" t="inlineStr">
        <is>
          <t>REQ-SC-01, REQ-X-01</t>
        </is>
      </c>
      <c r="F4" s="8">
        <f>COUNTIFS('Test Case Mapping'!$J$2:$J$600,"*"&amp;A4&amp;"*",'Test Case Mapping'!$I$2:$I$600,"Fail")</f>
        <v/>
      </c>
      <c r="G4" s="8">
        <f>IF(F4&gt;0,"Open (reproduced)","Not reproduced")</f>
        <v/>
      </c>
    </row>
    <row r="5">
      <c r="A5" s="8" t="inlineStr">
        <is>
          <t>DEF-04</t>
        </is>
      </c>
      <c r="B5" s="7" t="inlineStr">
        <is>
          <t>Units Reserved / Units Sold: hub value differs from Inventory Reports</t>
        </is>
      </c>
      <c r="C5" s="8" t="inlineStr">
        <is>
          <t>High</t>
        </is>
      </c>
      <c r="D5" s="7" t="inlineStr">
        <is>
          <t>X-06, X-07, RA-004, RA-005</t>
        </is>
      </c>
      <c r="E5" s="7" t="inlineStr">
        <is>
          <t>REQ-SC-01, REQ-X-01</t>
        </is>
      </c>
      <c r="F5" s="8">
        <f>COUNTIFS('Test Case Mapping'!$J$2:$J$600,"*"&amp;A5&amp;"*",'Test Case Mapping'!$I$2:$I$600,"Fail")</f>
        <v/>
      </c>
      <c r="G5" s="8">
        <f>IF(F5&gt;0,"Open (reproduced)","Not reproduced")</f>
        <v/>
      </c>
    </row>
    <row r="6">
      <c r="A6" s="8" t="inlineStr">
        <is>
          <t>DEF-05</t>
        </is>
      </c>
      <c r="B6" s="7" t="inlineStr">
        <is>
          <t>Won opportunities this month: dashboard differs from Sales Reports</t>
        </is>
      </c>
      <c r="C6" s="8" t="inlineStr">
        <is>
          <t>High</t>
        </is>
      </c>
      <c r="D6" s="7" t="inlineStr">
        <is>
          <t>X-10</t>
        </is>
      </c>
      <c r="E6" s="7" t="inlineStr">
        <is>
          <t>REQ-X-01</t>
        </is>
      </c>
      <c r="F6" s="8">
        <f>COUNTIFS('Test Case Mapping'!$J$2:$J$600,"*"&amp;A6&amp;"*",'Test Case Mapping'!$I$2:$I$600,"Fail")</f>
        <v/>
      </c>
      <c r="G6" s="8">
        <f>IF(F6&gt;0,"Open (reproduced)","Not reproduced")</f>
        <v/>
      </c>
    </row>
    <row r="7">
      <c r="A7" s="8" t="inlineStr">
        <is>
          <t>DEF-06</t>
        </is>
      </c>
      <c r="B7" s="7" t="inlineStr">
        <is>
          <t>Active Leads: Leads page formula differs from hub / Lead Reports Open Leads Now</t>
        </is>
      </c>
      <c r="C7" s="8" t="inlineStr">
        <is>
          <t>High</t>
        </is>
      </c>
      <c r="D7" s="7" t="inlineStr">
        <is>
          <t>L-10, RA-064</t>
        </is>
      </c>
      <c r="E7" s="7" t="inlineStr">
        <is>
          <t>REQ-SC-07, REQ-X-01</t>
        </is>
      </c>
      <c r="F7" s="8">
        <f>COUNTIFS('Test Case Mapping'!$J$2:$J$600,"*"&amp;A7&amp;"*",'Test Case Mapping'!$I$2:$I$600,"Fail")</f>
        <v/>
      </c>
      <c r="G7" s="8">
        <f>IF(F7&gt;0,"Open (reproduced)","Not reproduced")</f>
        <v/>
      </c>
    </row>
    <row r="8">
      <c r="A8" s="8" t="inlineStr">
        <is>
          <t>DEF-07</t>
        </is>
      </c>
      <c r="B8" s="7" t="inlineStr">
        <is>
          <t>Collection rate above 100% (does not equal Received ÷ Scheduled)</t>
        </is>
      </c>
      <c r="C8" s="8" t="inlineStr">
        <is>
          <t>High</t>
        </is>
      </c>
      <c r="D8" s="7" t="inlineStr">
        <is>
          <t>COL-14, M-03, RA-058</t>
        </is>
      </c>
      <c r="E8" s="7" t="inlineStr">
        <is>
          <t>REQ-COL-06, REQ-SC-06</t>
        </is>
      </c>
      <c r="F8" s="8">
        <f>COUNTIFS('Test Case Mapping'!$J$2:$J$600,"*"&amp;A8&amp;"*",'Test Case Mapping'!$I$2:$I$600,"Fail")</f>
        <v/>
      </c>
      <c r="G8" s="8">
        <f>IF(F8&gt;0,"Open (reproduced)","Not reproduced")</f>
        <v/>
      </c>
    </row>
    <row r="9">
      <c r="A9" s="8" t="inlineStr">
        <is>
          <t>DEF-08</t>
        </is>
      </c>
      <c r="B9" s="7" t="inlineStr">
        <is>
          <t>Customer Reports SPA value differs from SPA Reports signed value</t>
        </is>
      </c>
      <c r="C9" s="8" t="inlineStr">
        <is>
          <t>High</t>
        </is>
      </c>
      <c r="D9" s="7" t="inlineStr">
        <is>
          <t>CUS-14, RA-018</t>
        </is>
      </c>
      <c r="E9" s="7" t="inlineStr">
        <is>
          <t>REQ-CUS-06, REQ-SC-02</t>
        </is>
      </c>
      <c r="F9" s="8">
        <f>COUNTIFS('Test Case Mapping'!$J$2:$J$600,"*"&amp;A9&amp;"*",'Test Case Mapping'!$I$2:$I$600,"Fail")</f>
        <v/>
      </c>
      <c r="G9" s="8">
        <f>IF(F9&gt;0,"Open (reproduced)","Not reproduced")</f>
        <v/>
      </c>
    </row>
    <row r="10">
      <c r="A10" s="8" t="inlineStr">
        <is>
          <t>DEF-09</t>
        </is>
      </c>
      <c r="B10" s="7" t="inlineStr">
        <is>
          <t>Inventory "Available" card differs from the Availability Summary total</t>
        </is>
      </c>
      <c r="C10" s="8" t="inlineStr">
        <is>
          <t>Medium</t>
        </is>
      </c>
      <c r="D10" s="7" t="inlineStr">
        <is>
          <t>INV-15</t>
        </is>
      </c>
      <c r="E10" s="7" t="inlineStr">
        <is>
          <t>REQ-INV-06</t>
        </is>
      </c>
      <c r="F10" s="8">
        <f>COUNTIFS('Test Case Mapping'!$J$2:$J$600,"*"&amp;A10&amp;"*",'Test Case Mapping'!$I$2:$I$600,"Fail")</f>
        <v/>
      </c>
      <c r="G10" s="8">
        <f>IF(F10&gt;0,"Open (reproduced)","Not reproduced")</f>
        <v/>
      </c>
    </row>
    <row r="11">
      <c r="A11" s="8" t="inlineStr">
        <is>
          <t>DEF-10</t>
        </is>
      </c>
      <c r="B11" s="7" t="inlineStr">
        <is>
          <t>Sales Reports crashes / shows nothing on incomplete or empty API data</t>
        </is>
      </c>
      <c r="C11" s="8" t="inlineStr">
        <is>
          <t>Medium</t>
        </is>
      </c>
      <c r="D11" s="7" t="inlineStr">
        <is>
          <t>RA-095, RA-097</t>
        </is>
      </c>
      <c r="E11" s="7" t="inlineStr">
        <is>
          <t>REQ-SC-12</t>
        </is>
      </c>
      <c r="F11" s="8">
        <f>COUNTIFS('Test Case Mapping'!$J$2:$J$600,"*"&amp;A11&amp;"*",'Test Case Mapping'!$I$2:$I$600,"Fail")</f>
        <v/>
      </c>
      <c r="G11" s="8">
        <f>IF(F11&gt;0,"Open (reproduced)","Not reproduced")</f>
        <v/>
      </c>
    </row>
    <row r="12">
      <c r="A12" s="8" t="inlineStr">
        <is>
          <t>DEF-11</t>
        </is>
      </c>
      <c r="B12" s="7" t="inlineStr">
        <is>
          <t>Accessibility: unlabelled controls, low contrast, screen-reader and alert issues</t>
        </is>
      </c>
      <c r="C12" s="8" t="inlineStr">
        <is>
          <t>Medium</t>
        </is>
      </c>
      <c r="D12" s="7" t="inlineStr">
        <is>
          <t>RA-120, RA-122, RA-123, RA-124</t>
        </is>
      </c>
      <c r="E12" s="7" t="inlineStr">
        <is>
          <t>REQ-SC-16</t>
        </is>
      </c>
      <c r="F12" s="8">
        <f>COUNTIFS('Test Case Mapping'!$J$2:$J$600,"*"&amp;A12&amp;"*",'Test Case Mapping'!$I$2:$I$600,"Fail")</f>
        <v/>
      </c>
      <c r="G12" s="8">
        <f>IF(F12&gt;0,"Open (reproduced)","Not reproduced")</f>
        <v/>
      </c>
    </row>
    <row r="13">
      <c r="A13" s="8" t="inlineStr">
        <is>
          <t>DEF-12</t>
        </is>
      </c>
      <c r="B13" s="7" t="inlineStr">
        <is>
          <t>Lead Reports: browser Back loses the tab; Esc does not close the drill-down list</t>
        </is>
      </c>
      <c r="C13" s="8" t="inlineStr">
        <is>
          <t>Low</t>
        </is>
      </c>
      <c r="D13" s="7" t="inlineStr">
        <is>
          <t>LR-014, LR-074, LR-OBS-03</t>
        </is>
      </c>
      <c r="E13" s="7" t="inlineStr">
        <is>
          <t>REQ-LR-01, REQ-LR-09, REQ-LR-16</t>
        </is>
      </c>
      <c r="F13" s="8">
        <f>COUNTIFS('Test Case Mapping'!$J$2:$J$600,"*"&amp;A13&amp;"*",'Test Case Mapping'!$I$2:$I$600,"Fail")</f>
        <v/>
      </c>
      <c r="G13" s="8">
        <f>IF(F13&gt;0,"Open (reproduced)","Not reproduced")</f>
        <v/>
      </c>
    </row>
    <row r="14">
      <c r="A14" s="8" t="inlineStr">
        <is>
          <t>DEF-13</t>
        </is>
      </c>
      <c r="B14" s="7" t="inlineStr">
        <is>
          <t>Lead Reports: Lead Funnel and Data Completeness 42 px too wide on a phone (390 px)</t>
        </is>
      </c>
      <c r="C14" s="8" t="inlineStr">
        <is>
          <t>Medium</t>
        </is>
      </c>
      <c r="D14" s="7" t="inlineStr">
        <is>
          <t>LR-141</t>
        </is>
      </c>
      <c r="E14" s="7" t="inlineStr">
        <is>
          <t>REQ-LR-14</t>
        </is>
      </c>
      <c r="F14" s="8">
        <f>COUNTIFS('Test Case Mapping'!$J$2:$J$600,"*"&amp;A14&amp;"*",'Test Case Mapping'!$I$2:$I$600,"Fail")</f>
        <v/>
      </c>
      <c r="G14" s="8">
        <f>IF(F14&gt;0,"Open (reproduced)","Not reproduced")</f>
        <v/>
      </c>
    </row>
    <row r="15">
      <c r="A15" s="8" t="inlineStr">
        <is>
          <t>DEF-14</t>
        </is>
      </c>
      <c r="B15" s="7" t="inlineStr">
        <is>
          <t>Lead Reports: time values in mixed units (≥ 24 h in hours, &lt; 1 d in days)</t>
        </is>
      </c>
      <c r="C15" s="8" t="inlineStr">
        <is>
          <t>Low</t>
        </is>
      </c>
      <c r="D15" s="7" t="inlineStr">
        <is>
          <t>LR-121, LR-OBS-09</t>
        </is>
      </c>
      <c r="E15" s="7" t="inlineStr">
        <is>
          <t>REQ-LR-12, REQ-LR-16</t>
        </is>
      </c>
      <c r="F15" s="8">
        <f>COUNTIFS('Test Case Mapping'!$J$2:$J$600,"*"&amp;A15&amp;"*",'Test Case Mapping'!$I$2:$I$600,"Fail")</f>
        <v/>
      </c>
      <c r="G15" s="8">
        <f>IF(F15&gt;0,"Open (reproduced)","Not reproduced")</f>
        <v/>
      </c>
    </row>
    <row r="16">
      <c r="A16" s="8" t="inlineStr">
        <is>
          <t>DEF-15</t>
        </is>
      </c>
      <c r="B16" s="7" t="inlineStr">
        <is>
          <t>Two salespeople share the name "Mahalakshmi" (cannot be told apart in filters / tables)</t>
        </is>
      </c>
      <c r="C16" s="8" t="inlineStr">
        <is>
          <t>Low</t>
        </is>
      </c>
      <c r="D16" s="7" t="inlineStr">
        <is>
          <t>LR-OBS-06</t>
        </is>
      </c>
      <c r="E16" s="7" t="inlineStr">
        <is>
          <t>REQ-LR-16</t>
        </is>
      </c>
      <c r="F16" s="8">
        <f>COUNTIFS('Test Case Mapping'!$J$2:$J$600,"*"&amp;A16&amp;"*",'Test Case Mapping'!$I$2:$I$600,"Fail")</f>
        <v/>
      </c>
      <c r="G16" s="8">
        <f>IF(F16&gt;0,"Open (reproduced)","Not reproduced")</f>
        <v/>
      </c>
    </row>
    <row r="17">
      <c r="A17" s="8" t="inlineStr">
        <is>
          <t>DEF-16</t>
        </is>
      </c>
      <c r="B17" s="7" t="inlineStr">
        <is>
          <t>Contacted leads without a First Contact date</t>
        </is>
      </c>
      <c r="C17" s="8" t="inlineStr">
        <is>
          <t>Low</t>
        </is>
      </c>
      <c r="D17" s="7" t="inlineStr">
        <is>
          <t>LR-OBS-13</t>
        </is>
      </c>
      <c r="E17" s="7" t="inlineStr">
        <is>
          <t>REQ-LR-16</t>
        </is>
      </c>
      <c r="F17" s="8">
        <f>COUNTIFS('Test Case Mapping'!$J$2:$J$600,"*"&amp;A17&amp;"*",'Test Case Mapping'!$I$2:$I$600,"Fail")</f>
        <v/>
      </c>
      <c r="G17" s="8">
        <f>IF(F17&gt;0,"Open (reproduced)","Not reproduced")</f>
        <v/>
      </c>
    </row>
    <row r="18">
      <c r="A18" s="8" t="inlineStr">
        <is>
          <t>DEF-17</t>
        </is>
      </c>
      <c r="B18" s="7" t="inlineStr">
        <is>
          <t>Project filter: 9 project codes with leads cannot be selected; duplicate salesperson option</t>
        </is>
      </c>
      <c r="C18" s="8" t="inlineStr">
        <is>
          <t>Medium</t>
        </is>
      </c>
      <c r="D18" s="7" t="inlineStr">
        <is>
          <t>LR-156, LR-165</t>
        </is>
      </c>
      <c r="E18" s="7" t="inlineStr">
        <is>
          <t>REQ-LR-04, REQ-LR-05</t>
        </is>
      </c>
      <c r="F18" s="8">
        <f>COUNTIFS('Test Case Mapping'!$J$2:$J$600,"*"&amp;A18&amp;"*",'Test Case Mapping'!$I$2:$I$600,"Fail")</f>
        <v/>
      </c>
      <c r="G18" s="8">
        <f>IF(F18&gt;0,"Open (reproduced)","Not reproduced")</f>
        <v/>
      </c>
    </row>
    <row r="20">
      <c r="A20" s="2" t="inlineStr">
        <is>
          <t>Failing tests not linked to a known defect (to triage):</t>
        </is>
      </c>
    </row>
    <row r="21">
      <c r="A21" s="7" t="inlineStr">
        <is>
          <t>None</t>
        </is>
      </c>
    </row>
  </sheetData>
  <conditionalFormatting sqref="G2:G18">
    <cfRule type="cellIs" priority="1" operator="equal" dxfId="0">
      <formula>"Open (reproduced)"</formula>
    </cfRule>
    <cfRule type="cellIs" priority="2" operator="equal" dxfId="1">
      <formula>"Not reproduced"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Traceability Matrix</t>
        </is>
      </c>
      <c r="B1" s="11" t="inlineStr">
        <is>
          <t>One row per requirement: which test cases cover it, how many are automated, the latest result and the defects linked to it. Counts are formulas over the Test Case Mapping sheet.</t>
        </is>
      </c>
    </row>
    <row r="2">
      <c r="A2" s="2" t="inlineStr">
        <is>
          <t>Test Case Mapping</t>
        </is>
      </c>
      <c r="B2" s="11" t="inlineStr">
        <is>
          <t>One row per test case (every automated test, including workbook test cases that stay manual and are registered as Skipped). Filter by Requirement ID, Page or Latest Result.</t>
        </is>
      </c>
    </row>
    <row r="3">
      <c r="A3" s="2" t="inlineStr">
        <is>
          <t>Defects</t>
        </is>
      </c>
      <c r="B3" s="11" t="inlineStr">
        <is>
          <t>Known defects with the test cases that detect them; "Status in this run" shows whether any of those tests failed. Failing tests without a known defect are listed under "to triage".</t>
        </is>
      </c>
    </row>
    <row r="4">
      <c r="A4" s="2" t="inlineStr">
        <is>
          <t>Coverage</t>
        </is>
      </c>
      <c r="B4" s="11" t="inlineStr">
        <is>
          <t>Automated = every test case of the requirement runs automatically; Partly manual = some are registered as manual (need other roles, data changes or a load tool); Manual only = none automated.</t>
        </is>
      </c>
    </row>
    <row r="5">
      <c r="A5" s="2" t="inlineStr">
        <is>
          <t>Execution status</t>
        </is>
      </c>
      <c r="B5" s="11" t="inlineStr">
        <is>
          <t>Pass = all executed tests passed; Fail = only failures; Partly failing = some pass, some fail; Skipped = data or setup not available (e.g. database checks are switched off with SKIP_DB_TESTS=true).</t>
        </is>
      </c>
    </row>
    <row r="6">
      <c r="A6" s="2" t="inlineStr">
        <is>
          <t>Requirements</t>
        </is>
      </c>
      <c r="B6" s="11" t="inlineStr">
        <is>
          <t>There is no separate requirement document, so requirements are the features of each report page, taken from the test-case workbooks and the pages themselves. Business scenarios keep their Test Area from Reports_Analytics_Test_Scenarios.xlsx.</t>
        </is>
      </c>
    </row>
    <row r="7">
      <c r="A7" s="2" t="inlineStr">
        <is>
          <t>Updating</t>
        </is>
      </c>
      <c r="B7" s="11" t="inlineStr">
        <is>
          <t>Change a "Latest Result" on Test Case Mapping and the matrix and summary recalculate. Regenerating after a new run is done from the automation suite.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2026-10-16T02:03:15Z</dcterms:created>
  <dcterms:modified xsi:type="dcterms:W3CDTF">2026-10-16T02:03:15Z</dcterms:modified>
</cp:coreProperties>
</file>