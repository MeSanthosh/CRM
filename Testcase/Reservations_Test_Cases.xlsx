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Observations" state="visible" r:id="rId6"/>
  </sheets>
  <calcPr calcId="171027" fullCalcOnLoad="1"/>
</workbook>
</file>

<file path=xl/sharedStrings.xml><?xml version="1.0" encoding="utf-8"?>
<sst xmlns="http://schemas.openxmlformats.org/spreadsheetml/2006/main" count="1118" uniqueCount="476">
  <si>
    <t>Unit Reservations — Test Cases</t>
  </si>
  <si>
    <t>Page</t>
  </si>
  <si>
    <t>https://qa-crm.asquareab.com/reservations</t>
  </si>
  <si>
    <t>Build</t>
  </si>
  <si>
    <t>v1.0 1910-49</t>
  </si>
  <si>
    <t>Explored on</t>
  </si>
  <si>
    <t>21/22-Oct-2026 (CRM Administrator, QA data)</t>
  </si>
  <si>
    <t>Scope</t>
  </si>
  <si>
    <t>Status cards and Amount, Pending My Approval, Reservation Register (search, sort, paging), Reservation Detail (facts, workflow, history, documents), New Reservation form and unit picker, create, replace, approve (ERP sync), cancel, and access control</t>
  </si>
  <si>
    <t>How to use</t>
  </si>
  <si>
    <t>Fill "Status" (Not Started / Pass / Fail / Blocked / Not Applicable) and "Remarks" on the Test Cases sheet; the counts below update automatically.</t>
  </si>
  <si>
    <t>Automation</t>
  </si>
  <si>
    <t>Every test case is automated in tests/reservations/ ("Automated in" column); test names, steps and expected results come from this sheet. Run: npm run test:reservations. lifecycle.spec.ts changes QA data on every run: it converts one Ready to Convert lead, takes it to Reservation Ready, creates, replaces, approves (ERP sync is sent) and cancels a reservation, so the units are released at the end.</t>
  </si>
  <si>
    <t>Last run</t>
  </si>
  <si>
    <t>22-Oct-2026 10:52 full run (reports/CRM_Defect_Report_2026-10-22_1052.xlsx), then the read-only specs again after fixing two test-timing issues (UR-007, UR-017): 54 passed, 11 failed, 4 blocked (skipped by design).</t>
  </si>
  <si>
    <t>By area</t>
  </si>
  <si>
    <t>Test cases</t>
  </si>
  <si>
    <t>High</t>
  </si>
  <si>
    <t>Pass</t>
  </si>
  <si>
    <t>Fail</t>
  </si>
  <si>
    <t>List &amp; cards</t>
  </si>
  <si>
    <t>Search &amp; sort</t>
  </si>
  <si>
    <t>Detail</t>
  </si>
  <si>
    <t>Create form</t>
  </si>
  <si>
    <t>Create</t>
  </si>
  <si>
    <t>Documents</t>
  </si>
  <si>
    <t>Cancel</t>
  </si>
  <si>
    <t>Replace</t>
  </si>
  <si>
    <t>Approve</t>
  </si>
  <si>
    <t>Access</t>
  </si>
  <si>
    <t>Export</t>
  </si>
  <si>
    <t>Mandatory fields</t>
  </si>
  <si>
    <t>Total</t>
  </si>
  <si>
    <t>By type</t>
  </si>
  <si>
    <t>Navigation</t>
  </si>
  <si>
    <t>UI</t>
  </si>
  <si>
    <t>Functional</t>
  </si>
  <si>
    <t>Negative</t>
  </si>
  <si>
    <t>Data</t>
  </si>
  <si>
    <t>Security</t>
  </si>
  <si>
    <t>By priority</t>
  </si>
  <si>
    <t>Medium</t>
  </si>
  <si>
    <t>Low</t>
  </si>
  <si>
    <t>Execution status</t>
  </si>
  <si>
    <t>Not Started</t>
  </si>
  <si>
    <t>Blocked</t>
  </si>
  <si>
    <t>Not Applicable</t>
  </si>
  <si>
    <t>Observations</t>
  </si>
  <si>
    <t>TC ID</t>
  </si>
  <si>
    <t>Area</t>
  </si>
  <si>
    <t>Component</t>
  </si>
  <si>
    <t>Test Case</t>
  </si>
  <si>
    <t>Preconditions</t>
  </si>
  <si>
    <t>Test Steps</t>
  </si>
  <si>
    <t>Test Data</t>
  </si>
  <si>
    <t>Expected Result</t>
  </si>
  <si>
    <t>Observed (automated run, build v1.0 1910-49)</t>
  </si>
  <si>
    <t>Type</t>
  </si>
  <si>
    <t>Priority</t>
  </si>
  <si>
    <t>Status</t>
  </si>
  <si>
    <t>Remarks</t>
  </si>
  <si>
    <t>Automated in</t>
  </si>
  <si>
    <t>UR-001</t>
  </si>
  <si>
    <t>Reservations opens from the side menu</t>
  </si>
  <si>
    <t>Logged in as CRM Administrator</t>
  </si>
  <si>
    <t xml:space="preserve">1. Open Home / Dashboard (/)
2. Click "Reservations" in the main menu</t>
  </si>
  <si>
    <t/>
  </si>
  <si>
    <t>URL is /reservations; eyebrow "RESERVATIONS", heading "Unit Reservations"; the menu item is highlighted</t>
  </si>
  <si>
    <t>As expected</t>
  </si>
  <si>
    <t>tests/reservations/view.spec.ts</t>
  </si>
  <si>
    <t>UR-002</t>
  </si>
  <si>
    <t>Register</t>
  </si>
  <si>
    <t>Register loads without errors and shows every column</t>
  </si>
  <si>
    <t xml:space="preserve">1. Open /reservations
2. Look at the Reservation Register
3. Check the browser console and network log</t>
  </si>
  <si>
    <t>Columns Reservation, Customer, Unit, Status, Date, Amount, Created Date; every row shows an RSV-… number with its OPP-… number; no JavaScript errors, failed API calls, NaN or undefined</t>
  </si>
  <si>
    <t>UR-003</t>
  </si>
  <si>
    <t>KPI cards</t>
  </si>
  <si>
    <t>Cards show loaded values</t>
  </si>
  <si>
    <t xml:space="preserve">1. Open /reservations
2. Read All Reservations, Active, Converted, Cancelled and Amount, and the "All amounts in" label</t>
  </si>
  <si>
    <t>Every card shows a value (not blank or —); Amount is in the base currency named in "All amounts in"; "All Reservations" is selected by default</t>
  </si>
  <si>
    <t>UR-004</t>
  </si>
  <si>
    <t>Every reservation is counted in one status card</t>
  </si>
  <si>
    <t xml:space="preserve">1. Open /reservations
2. Note All Reservations, Active, Converted and Cancelled</t>
  </si>
  <si>
    <t>All Reservations = Active + Converted + Cancelled (every reservation, including Requested and Superseded ones, falls in one of the status cards)</t>
  </si>
  <si>
    <t>All Reservations 120, but Active 29 + Converted 82 + Cancelled 7 = 118: Requested and Superseded reservations are in no card (OBS-01)</t>
  </si>
  <si>
    <t>UR-005</t>
  </si>
  <si>
    <t>Status cards filter the register</t>
  </si>
  <si>
    <t xml:space="preserve">1. Open /reservations
2. Click Active, then Converted, then Cancelled, then All Reservations
3. Each time read the pager total and the Status column</t>
  </si>
  <si>
    <t>The clicked card is pressed; the pager total equals the card value; Active lists Approved / Requested reservations, Converted lists "Converted to Contract", Cancelled lists "Cancelled"</t>
  </si>
  <si>
    <t>UR-006</t>
  </si>
  <si>
    <t>Amount card equals the amounts in the register</t>
  </si>
  <si>
    <t xml:space="preserve">1. Open /reservations (All Reservations)
2. Add up the Amount column on every page</t>
  </si>
  <si>
    <t>Amount card = sum of the listed amounts (within each value's display rounding)</t>
  </si>
  <si>
    <t>UR-007</t>
  </si>
  <si>
    <t>Pagination covers every reservation</t>
  </si>
  <si>
    <t xml:space="preserve">1. Open /reservations; read "Showing 1–20 of N reservations · Page 1 of M"
2. Click Next, then Previous
3. Sort Created Date oldest first and page to the end, counting rows</t>
  </si>
  <si>
    <t>N = All Reservations; Previous disabled on page 1; Next / Previous move one page; the last page ends at N and Next is disabled there; N rows in all, none repeated</t>
  </si>
  <si>
    <t>UR-008</t>
  </si>
  <si>
    <t>Viewing does not change data</t>
  </si>
  <si>
    <t xml:space="preserve">1. Open /reservations with the network log open
2. Click each status card
3. Sort by Amount
4. Open a reservation and close it</t>
  </si>
  <si>
    <t>No create / update / delete request (POST, PUT, PATCH, DELETE) to reservation, document, approval or opportunity endpoints</t>
  </si>
  <si>
    <t>UR-009</t>
  </si>
  <si>
    <t>Search</t>
  </si>
  <si>
    <t>Search by reservation number</t>
  </si>
  <si>
    <t xml:space="preserve">1. Open /reservations
2. Note the 3rd row
3. Type its RSV number in "Search reservation, customer, unit"</t>
  </si>
  <si>
    <t>RSV number of the 3rd row</t>
  </si>
  <si>
    <t>Exactly that reservation is listed, with the same values as before</t>
  </si>
  <si>
    <t>tests/reservations/search-sort.spec.ts</t>
  </si>
  <si>
    <t>UR-010</t>
  </si>
  <si>
    <t>Search by customer and by unit</t>
  </si>
  <si>
    <t xml:space="preserve">1. Open /reservations
2. Search the 2nd row's customer
3. Search the 2nd row's unit code</t>
  </si>
  <si>
    <t>Customer and unit of the 2nd row</t>
  </si>
  <si>
    <t>Every row matches the term (number, customer or unit) and the 2nd row is among them</t>
  </si>
  <si>
    <t>UR-011</t>
  </si>
  <si>
    <t>Search with no match shows an empty register</t>
  </si>
  <si>
    <t xml:space="preserve">1. Open /reservations
2. Search a term that matches nothing</t>
  </si>
  <si>
    <t>"zz-no-such-reservation-&lt;timestamp&gt;"</t>
  </si>
  <si>
    <t>No rows, an empty-state message, and Export disabled</t>
  </si>
  <si>
    <t>UR-012</t>
  </si>
  <si>
    <t>Clearing the search restores the register</t>
  </si>
  <si>
    <t xml:space="preserve">1. Open /reservations; note the total and page 1
2. Search the first row's customer
3. Click the clear (×) button</t>
  </si>
  <si>
    <t>Customer of the first row</t>
  </si>
  <si>
    <t>The search narrows the list; after clearing, the box is empty and the total and page 1 are as before</t>
  </si>
  <si>
    <t>UR-013</t>
  </si>
  <si>
    <t>Cards follow the search</t>
  </si>
  <si>
    <t xml:space="preserve">1. Open /reservations
2. Search one reservation number
3. Read the cards</t>
  </si>
  <si>
    <t>RSV number of the first row</t>
  </si>
  <si>
    <t>All Reservations = 1 and Amount = that reservation's amount; the status card for its status shows 1</t>
  </si>
  <si>
    <t>UR-014</t>
  </si>
  <si>
    <t>Sort</t>
  </si>
  <si>
    <t>Sort by Amount</t>
  </si>
  <si>
    <t xml:space="preserve">1. Open /reservations
2. Click the Amount header until it sorts ascending; check page 1 and the start of page 2
3. Repeat for descending</t>
  </si>
  <si>
    <t>Amount sorts by the USD amount shown, both directions, across pages; the header shows the direction</t>
  </si>
  <si>
    <t>Descending lists "0 USD" before "0.96M USD": reservations with no amount come first, then amounts are ordered by their unconverted value (124,000,000 KES ≈ 0.96M USD before USD amounts) (OBS-03)</t>
  </si>
  <si>
    <t>UR-015</t>
  </si>
  <si>
    <t>Sort by Created Date</t>
  </si>
  <si>
    <t xml:space="preserve">1. Open /reservations
2. Check the default order
3. Sort Created Date ascending</t>
  </si>
  <si>
    <t>Default is newest first (Created Date ▼); ascending gives oldest first</t>
  </si>
  <si>
    <t>UR-016</t>
  </si>
  <si>
    <t>Sort by Date and Reservation number</t>
  </si>
  <si>
    <t xml:space="preserve">1. Open /reservations
2. Sort Date ascending, then descending
3. Sort Reservation ascending, then descending</t>
  </si>
  <si>
    <t>Rows follow the reservation date and the RSV number in both directions</t>
  </si>
  <si>
    <t>UR-017</t>
  </si>
  <si>
    <t>Reservation Detail</t>
  </si>
  <si>
    <t>Opening a reservation shows its details</t>
  </si>
  <si>
    <t xml:space="preserve">1. Open /reservations
2. Click the first RSV number
3. Compare the detail with the row and GET /reservations/&lt;id&gt;</t>
  </si>
  <si>
    <t>Same number, customer, opportunity, unit, project, amount, date, expiry and status as the row and the API; opening it does not modify the record</t>
  </si>
  <si>
    <t>UR-018</t>
  </si>
  <si>
    <t>Opportunity and unit links open their records</t>
  </si>
  <si>
    <t xml:space="preserve">1. Open a reservation
2. Click the OPPORTUNITY number
3. Go back, open it again and click the UNIT code</t>
  </si>
  <si>
    <t>The opportunity link opens that Opportunity Detail; the unit link opens that unit in Inventory</t>
  </si>
  <si>
    <t>UR-019</t>
  </si>
  <si>
    <t>An Approved reservation shows its next steps</t>
  </si>
  <si>
    <t xml:space="preserve">1. Click the Active card
2. Open the first Approved reservation</t>
  </si>
  <si>
    <t>First Approved reservation</t>
  </si>
  <si>
    <t>Status Approved; workflow Requested and Approved Done; ERP SYNC and DEPOSIT RECEIVED shown; actions Cancel Reservation, Replace Reservation and Move to Proposal</t>
  </si>
  <si>
    <t>UR-020</t>
  </si>
  <si>
    <t>A Converted reservation can only be cancelled or replaced</t>
  </si>
  <si>
    <t xml:space="preserve">1. Click the Converted card
2. Open the first reservation</t>
  </si>
  <si>
    <t>First "Converted to Contract" reservation</t>
  </si>
  <si>
    <t>Status "Converted to Contract"; every workflow step Done; actions only Cancel Reservation and Replace Reservation; Quick notes say "Required before cancelling."</t>
  </si>
  <si>
    <t>UR-021</t>
  </si>
  <si>
    <t>A Cancelled reservation offers no actions</t>
  </si>
  <si>
    <t xml:space="preserve">1. Click the Cancelled card
2. Open the first reservation</t>
  </si>
  <si>
    <t>First Cancelled reservation</t>
  </si>
  <si>
    <t>Status Cancelled; workflow steps On hold; no Cancel, Replace, Approve or Move to Proposal action</t>
  </si>
  <si>
    <t>UR-022</t>
  </si>
  <si>
    <t>History</t>
  </si>
  <si>
    <t>History lists the changes with user and time</t>
  </si>
  <si>
    <t xml:space="preserve">1. Open an Approved reservation
2. Read History
3. Click Refresh</t>
  </si>
  <si>
    <t>The last entry is "Created" with a user and date-time; status changes are listed as "Reservation status Requested → Approved"; Refresh reloads the list</t>
  </si>
  <si>
    <t>UR-023</t>
  </si>
  <si>
    <t>Record link (?selected=id) opens and keeps the reservation open</t>
  </si>
  <si>
    <t xml:space="preserve">1. Copy a row's link (/reservations?selected=&lt;id&gt;)
2. Open it
3. Wait 3 seconds</t>
  </si>
  <si>
    <t>That reservation's detail opens and stays open until closed</t>
  </si>
  <si>
    <t>UR-024</t>
  </si>
  <si>
    <t>Link to a missing reservation shows a message</t>
  </si>
  <si>
    <t>1. Open /reservations?selected=&lt;id that does not exist&gt;</t>
  </si>
  <si>
    <t>00000000-0000-0000-0000-000000000000</t>
  </si>
  <si>
    <t>A message says the reservation was not found (no endless loading, no silent close)</t>
  </si>
  <si>
    <t>No "not found" message appears (OBS-08)</t>
  </si>
  <si>
    <t>UR-025</t>
  </si>
  <si>
    <t>Create Reservation</t>
  </si>
  <si>
    <t>New Reservation opens the form with defaults</t>
  </si>
  <si>
    <t xml:space="preserve">1. Open /reservations
2. Click New Reservation</t>
  </si>
  <si>
    <t>Dialog "Create Reservation" with "Only opportunities at Reservation Ready stage can be reserved."; fields Opportunity *, Unit * (Choose Unit), Amount (USD), Currency = USD (read-only), Expiry = today + 30 days, Remarks; buttons Close and Create Reservation</t>
  </si>
  <si>
    <t>tests/reservations/create-form.spec.ts</t>
  </si>
  <si>
    <t>UR-026</t>
  </si>
  <si>
    <t>Validation</t>
  </si>
  <si>
    <t>Submitting an empty form is refused</t>
  </si>
  <si>
    <t xml:space="preserve">1. Open New Reservation
2. Click Create Reservation without filling anything</t>
  </si>
  <si>
    <t>Notice "Opportunity Required — Select a reservation-ready opportunity."; no request is sent</t>
  </si>
  <si>
    <t>UR-027</t>
  </si>
  <si>
    <t>Only Reservation Ready opportunities are offered</t>
  </si>
  <si>
    <t xml:space="preserve">1. Open New Reservation
2. Open the Opportunity list
3. Check the stage of the listed opportunities</t>
  </si>
  <si>
    <t>First 10 options</t>
  </si>
  <si>
    <t>Every listed opportunity is at stage Reservation Ready</t>
  </si>
  <si>
    <t>UR-028</t>
  </si>
  <si>
    <t>A unit is required</t>
  </si>
  <si>
    <t xml:space="preserve">1. Open New Reservation
2. Choose an opportunity but no unit
3. Click Create Reservation</t>
  </si>
  <si>
    <t>First listed opportunity</t>
  </si>
  <si>
    <t>A message asks for the unit; no request is sent</t>
  </si>
  <si>
    <t>UR-029</t>
  </si>
  <si>
    <t>Unit picker</t>
  </si>
  <si>
    <t>Unit picker lists available units and hides units on hold</t>
  </si>
  <si>
    <t xml:space="preserve">1. Open New Reservation › Choose Unit
2. Read the units and their status
3. Tick "Hide units on hold"</t>
  </si>
  <si>
    <t>Dialog "Select Available Unit" with filters Project, Type, Bedrooms, View, Min / Max price; each row shows unit, project, type, beds, floor, area, price, status; ticking "Hide units on hold" never adds units</t>
  </si>
  <si>
    <t>UR-030</t>
  </si>
  <si>
    <t>Closing the form creates nothing</t>
  </si>
  <si>
    <t xml:space="preserve">1. Open New Reservation
2. Choose an opportunity
3. Click Close</t>
  </si>
  <si>
    <t>The dialog closes, no request is sent and the register total is unchanged</t>
  </si>
  <si>
    <t>UR-031</t>
  </si>
  <si>
    <t>Preparation</t>
  </si>
  <si>
    <t>A test opportunity is brought to Reservation Ready</t>
  </si>
  <si>
    <t xml:space="preserve">1. Leads › Ready to Convert: convert a lead (Move to Opportunity › Convert)
2. Schedule a virtual visit (next month, 15th)
3. Complete the site visit with outcome notes
4. Enter negotiation notes › Continue to Reservation Ready</t>
  </si>
  <si>
    <t>A Qualified lead picked at random</t>
  </si>
  <si>
    <t>The opportunity is at Reservation Ready and is offered in New Reservation › Opportunity</t>
  </si>
  <si>
    <t>tests/reservations/lifecycle.spec.ts</t>
  </si>
  <si>
    <t>UR-032</t>
  </si>
  <si>
    <t>Reservation amount is required</t>
  </si>
  <si>
    <t>Logged in as CRM Administrator; the test opportunity prepared by UR-031</t>
  </si>
  <si>
    <t xml:space="preserve">1. Open New Reservation; choose the test opportunity and an available unit
2. Clear Amount (USD)
3. Click Create Reservation</t>
  </si>
  <si>
    <t>Amount empty</t>
  </si>
  <si>
    <t>A message asks for the amount; no reservation is created</t>
  </si>
  <si>
    <t>Saved anyway (201) with no amount; the test cancelled that reservation straight away (OBS-02)</t>
  </si>
  <si>
    <t>UR-033</t>
  </si>
  <si>
    <t>Choosing a unit fills in the amount</t>
  </si>
  <si>
    <t xml:space="preserve">1. Open New Reservation; choose the test opportunity
2. Choose Unit › Select an available unit</t>
  </si>
  <si>
    <t>First available unit</t>
  </si>
  <si>
    <t>Unit shows the chosen code; Amount (USD) fills in with a value above 0</t>
  </si>
  <si>
    <t>UR-034</t>
  </si>
  <si>
    <t>Creating a reservation</t>
  </si>
  <si>
    <t xml:space="preserve">1. With the test opportunity and unit chosen and the amount filled in, enter Remarks
2. Click Create Reservation
3. Click OK</t>
  </si>
  <si>
    <t>Remarks "Automated test - Reservations lifecycle"</t>
  </si>
  <si>
    <t>POST /reservations succeeds; notice "Reservation Created"; the detail shows status Requested, the opportunity, unit, amount, expiry, "Not yet received · 0 USD" and "Not sent (sent on approval)"; workflow Requested In progress</t>
  </si>
  <si>
    <t>UR-035</t>
  </si>
  <si>
    <t>The new reservation is listed and counted</t>
  </si>
  <si>
    <t>Logged in as CRM Administrator; the reservation created by UR-034 (Requested)</t>
  </si>
  <si>
    <t xml:space="preserve">1. Open /reservations
2. Look at page 1
3. Search the RSV number
4. Compare All Reservations with before</t>
  </si>
  <si>
    <t>The reservation is on page 1 with status Requested; search finds it; All Reservations +1</t>
  </si>
  <si>
    <t>UR-036</t>
  </si>
  <si>
    <t>Approvals</t>
  </si>
  <si>
    <t>Pending My Approval lists the new reservation</t>
  </si>
  <si>
    <t xml:space="preserve">1. Open /reservations
2. Read the "Pending My Approval" panel</t>
  </si>
  <si>
    <t>A row "Approve reservation" with the RSV number, customer, unit, requester and the remarks as reason</t>
  </si>
  <si>
    <t>UR-037</t>
  </si>
  <si>
    <t>A reserved unit is no longer offered as available</t>
  </si>
  <si>
    <t xml:space="preserve">1. Open New Reservation › Choose Unit
2. Find the reserved unit
3. Tick "Hide units on hold"</t>
  </si>
  <si>
    <t>The reservation's unit</t>
  </si>
  <si>
    <t>The unit is not shown as Available with Select (and is hidden by "Hide units on hold")</t>
  </si>
  <si>
    <t>UR-038</t>
  </si>
  <si>
    <t>A second reservation for the same opportunity is refused</t>
  </si>
  <si>
    <t>1. Send POST /reservations for the test opportunity with another available unit</t>
  </si>
  <si>
    <t>Another available unit</t>
  </si>
  <si>
    <t>Refused (4xx); the opportunity still has one active reservation</t>
  </si>
  <si>
    <t>UR-039</t>
  </si>
  <si>
    <t>Upload</t>
  </si>
  <si>
    <t>Upload validation</t>
  </si>
  <si>
    <t xml:space="preserve">1. Open the reservation
2. Click Upload with no file
3. Choose a .txt file and click Upload</t>
  </si>
  <si>
    <t>notes.txt</t>
  </si>
  <si>
    <t>"Choose a file to upload." then "Only PDF, JPG and PNG files can be uploaded."; nothing is uploaded</t>
  </si>
  <si>
    <t>UR-040</t>
  </si>
  <si>
    <t>Uploading a PDF</t>
  </si>
  <si>
    <t xml:space="preserve">1. Open the reservation
2. Document type: Deposit proof; Description
3. Choose a PDF and click Upload</t>
  </si>
  <si>
    <t>deposit-proof.pdf (small PDF); "Automated test deposit proof"</t>
  </si>
  <si>
    <t>The document is listed with file name, type, description, size, uploader and time, and a Delete button</t>
  </si>
  <si>
    <t>UR-041</t>
  </si>
  <si>
    <t>Delete</t>
  </si>
  <si>
    <t>Deleting a document</t>
  </si>
  <si>
    <t xml:space="preserve">1. Upload a second PDF (Signed booking form)
2. Click its Delete and confirm</t>
  </si>
  <si>
    <t>booking-form.pdf</t>
  </si>
  <si>
    <t>The document is removed from the list; the first document stays</t>
  </si>
  <si>
    <t>UR-042</t>
  </si>
  <si>
    <t>Cancelling needs a reason</t>
  </si>
  <si>
    <t xml:space="preserve">1. Open the reservation with Quick notes empty and no remarks typed
2. Click Cancel Reservation</t>
  </si>
  <si>
    <t>Notice "Reason Required — Enter the cancellation reason in the notes box before cancelling."; nothing is cancelled</t>
  </si>
  <si>
    <t>UR-043</t>
  </si>
  <si>
    <t>Replace Reservation</t>
  </si>
  <si>
    <t>Replace opens with the reservation's opportunity</t>
  </si>
  <si>
    <t xml:space="preserve">1. Open the reservation
2. Click Replace Reservation</t>
  </si>
  <si>
    <t>Dialog "Replace Reservation": "Prior reservation and linked proposals/contracts will be superseded. Latest becomes active."; the opportunity is preselected; Unit, Amount, Expiry and Remarks fields</t>
  </si>
  <si>
    <t>Dialog and explanation shown, but the Opportunity field is empty (OBS-07)</t>
  </si>
  <si>
    <t>UR-044</t>
  </si>
  <si>
    <t>Replacing creates a new reservation and supersedes the old one</t>
  </si>
  <si>
    <t xml:space="preserve">1. In Replace Reservation choose another available unit and enter Remarks
2. Click Replace Reservation, then OK</t>
  </si>
  <si>
    <t>Another available unit; remarks "Automated test - Reservations lifecycle (replacement)"</t>
  </si>
  <si>
    <t>Notice "Reservation Replaced"; a new RSV number is Requested for the new unit; the old reservation is Superseded</t>
  </si>
  <si>
    <t>UR-045</t>
  </si>
  <si>
    <t>A superseded reservation is closed and its unit released</t>
  </si>
  <si>
    <t>Logged in as CRM Administrator; the reservation superseded by UR-044</t>
  </si>
  <si>
    <t xml:space="preserve">1. Open the superseded reservation
2. Open New Reservation › Choose Unit and find its unit</t>
  </si>
  <si>
    <t>The superseded reservation offers no Cancel, Replace or Approve; its unit is offered as Available again</t>
  </si>
  <si>
    <t>UR-046</t>
  </si>
  <si>
    <t>Approve Reservation</t>
  </si>
  <si>
    <t>Approving a reservation</t>
  </si>
  <si>
    <t>Logged in as CRM Administrator; the replacement reservation from UR-044</t>
  </si>
  <si>
    <t xml:space="preserve">1. Open the replacement reservation; type Quick notes
2. Click Approve Reservation, then Go back
3. Click Approve Reservation, then Approve</t>
  </si>
  <si>
    <t>Notes "Automated test - approved"</t>
  </si>
  <si>
    <t>Go back changes nothing; Approve: POST …/approve succeeds; status Approved; workflow Requested and Approved Done; actions Cancel, Replace, Move to Proposal; it leaves Pending My Approval</t>
  </si>
  <si>
    <t>UR-047</t>
  </si>
  <si>
    <t>ERP</t>
  </si>
  <si>
    <t>Approval is recorded and sent to ERP</t>
  </si>
  <si>
    <t xml:space="preserve">1. Open the approved reservation
2. Read ERP SYNC and History</t>
  </si>
  <si>
    <t>ERP SYNC no longer "Not sent"; History lists "Reservation status Requested → Approved" by the approver and the ERP sync fields</t>
  </si>
  <si>
    <t>UR-048</t>
  </si>
  <si>
    <t>Opportunity</t>
  </si>
  <si>
    <t>The opportunity moves on once its reservation is approved</t>
  </si>
  <si>
    <t xml:space="preserve">1. Open the test opportunity
2. Open New Reservation and look for the opportunity</t>
  </si>
  <si>
    <t>The opportunity is no longer Reservation Ready ("Moved to Reservation" Done) and is no longer offered for a new reservation</t>
  </si>
  <si>
    <t>Opportunity still "Reservation Ready", "Moved to Reservation" Up next, and still offered in New Reservation (OBS-04)</t>
  </si>
  <si>
    <t>UR-049</t>
  </si>
  <si>
    <t>Workflow</t>
  </si>
  <si>
    <t>"Moved to Proposal" is not Done before a proposal exists</t>
  </si>
  <si>
    <t xml:space="preserve">1. Open the approved reservation
2. Read Workflow Status and the Next panel</t>
  </si>
  <si>
    <t>While the next step is "Move to Proposal", the "Moved to Proposal" step is not shown as Done</t>
  </si>
  <si>
    <t>"Moved to Proposal" shows Done right after approval while the next step is "Move to Proposal" (OBS-05)</t>
  </si>
  <si>
    <t>UR-050</t>
  </si>
  <si>
    <t>Cancel Reservation</t>
  </si>
  <si>
    <t>Cancelling an approved reservation releases the unit</t>
  </si>
  <si>
    <t xml:space="preserve">1. Open the approved reservation; type the reason in Quick notes
2. Click Cancel Reservation, then Go back
3. Click Cancel Reservation, then Confirm, then OK
4. Open New Reservation › Choose Unit and find the unit</t>
  </si>
  <si>
    <t>Reason "Automated test - cancelled to release the unit"</t>
  </si>
  <si>
    <t>Go back changes nothing; Confirm: notice "Reservation Cancelled … the unit released"; status Cancelled; History "Approved → Cancelled"; the unit is Available again</t>
  </si>
  <si>
    <t>UR-051</t>
  </si>
  <si>
    <t>A cancelled reservation offers no further actions</t>
  </si>
  <si>
    <t>Logged in as CRM Administrator; the replacement reservation cancelled by UR-050</t>
  </si>
  <si>
    <t xml:space="preserve">1. Open the cancelled reservation
2. Review the action panels</t>
  </si>
  <si>
    <t>No Cancel, Replace, Approve, Move to Proposal or "Retry ERP Sync"; workflow steps On hold</t>
  </si>
  <si>
    <t>No Cancel / Replace / Approve, but "Retry ERP Sync" is still offered (OBS-06)</t>
  </si>
  <si>
    <t>UR-052</t>
  </si>
  <si>
    <t>API</t>
  </si>
  <si>
    <t>Backend refuses to approve or cancel a cancelled reservation</t>
  </si>
  <si>
    <t xml:space="preserve">1. Send POST /reservations/&lt;id&gt;/approve
2. Send POST /reservations/&lt;id&gt;/cancel</t>
  </si>
  <si>
    <t>Both refused (4xx); the reservation stays Cancelled</t>
  </si>
  <si>
    <t>UR-053</t>
  </si>
  <si>
    <t>Backend rejects reservation requests without a valid login</t>
  </si>
  <si>
    <t>None (requests sent without a login)</t>
  </si>
  <si>
    <t xml:space="preserve">1. Send GET /reservations, POST /reservations, POST …/approve and POST …/cancel without a token
2. Repeat GET with an invalid token</t>
  </si>
  <si>
    <t>Reservation id 00000000-0000-0000-0000-000000000000</t>
  </si>
  <si>
    <t>Every call returns 401</t>
  </si>
  <si>
    <t>tests/reservations/access.spec.ts</t>
  </si>
  <si>
    <t>UR-054</t>
  </si>
  <si>
    <t>Signed-out user is sent to the login page</t>
  </si>
  <si>
    <t>Not logged in (new browser session)</t>
  </si>
  <si>
    <t>1. Open /reservations</t>
  </si>
  <si>
    <t>Redirected to /login; no reservation data shown</t>
  </si>
  <si>
    <t>UR-055</t>
  </si>
  <si>
    <t>Roles</t>
  </si>
  <si>
    <t>Only permitted roles can approve and cancel</t>
  </si>
  <si>
    <t>Test accounts for each role (e.g. Sales Executive, Sales Manager)</t>
  </si>
  <si>
    <t xml:space="preserve">1. Log in as a sales user and open a Requested reservation
2. Try Approve and Cancel, in the UI and through the API</t>
  </si>
  <si>
    <t>One account per role</t>
  </si>
  <si>
    <t>Users without approval rights do not get Approve; the backend refuses it</t>
  </si>
  <si>
    <t>Not testable yet: only the CRM Administrator login is configured</t>
  </si>
  <si>
    <t>tests/reservations/access.spec.ts (skipped)</t>
  </si>
  <si>
    <t>UR-056</t>
  </si>
  <si>
    <t>Cancelling after a signed contract goes to the manager</t>
  </si>
  <si>
    <t>A reservation whose contract is signed</t>
  </si>
  <si>
    <t xml:space="preserve">1. Open the reservation
2. Enter a reason and Cancel Reservation</t>
  </si>
  <si>
    <t>The cancellation becomes a request in the manager's "Pending My Approval" instead of cancelling at once</t>
  </si>
  <si>
    <t>Not automated: needs a signed contract, which would cancel a real deal</t>
  </si>
  <si>
    <t>tests/reservations/lifecycle.spec.ts (skipped)</t>
  </si>
  <si>
    <t>UR-057</t>
  </si>
  <si>
    <t>Proposal</t>
  </si>
  <si>
    <t>Move to Proposal opens the proposal for the reservation</t>
  </si>
  <si>
    <t>An approved reservation</t>
  </si>
  <si>
    <t xml:space="preserve">1. Open the approved reservation
2. Click Move to Proposal</t>
  </si>
  <si>
    <t>Proposals opens with the reservation's customer, unit and amount filled in</t>
  </si>
  <si>
    <t>Not automated: belongs to the Proposals module</t>
  </si>
  <si>
    <t>UR-058</t>
  </si>
  <si>
    <t>Retry ERP Sync resends the deposit</t>
  </si>
  <si>
    <t>An approved reservation whose ERP sync is waiting</t>
  </si>
  <si>
    <t xml:space="preserve">1. Open the reservation
2. Click Retry ERP Sync</t>
  </si>
  <si>
    <t>The sync is sent again and ERP SYNC shows the new result</t>
  </si>
  <si>
    <t>Not automated: sends an extra ERP request on demand; approval sync is covered by UR-047</t>
  </si>
  <si>
    <t>UR-059</t>
  </si>
  <si>
    <t>Export downloads the register as an Excel file</t>
  </si>
  <si>
    <t xml:space="preserve">1. Open /reservations (All Reservations)
2. Click Export
3. Open the downloaded file</t>
  </si>
  <si>
    <t>A file "reservations-&lt;today&gt;.xlsx" downloads with columns Reservation No, Customer, Opportunity No, Project, Unit, Status, Reservation Date, Expiry Date, Amount, Currency, Broker, Created By, Created At, Remarks, and one row per reservation (= All Reservations)</t>
  </si>
  <si>
    <t>tests/reservations/export.spec.ts</t>
  </si>
  <si>
    <t>UR-060</t>
  </si>
  <si>
    <t>Exported rows match the register</t>
  </si>
  <si>
    <t xml:space="preserve">1. Open /reservations
2. Click Export
3. Compare page 1 of the register with the same reservations in the file</t>
  </si>
  <si>
    <t>Page 1 of the register</t>
  </si>
  <si>
    <t>For each reservation: customer, opportunity, unit and status are the same, and the amount matches the shown amount (within its rounding)</t>
  </si>
  <si>
    <t>UR-061</t>
  </si>
  <si>
    <t>Export follows the search</t>
  </si>
  <si>
    <t xml:space="preserve">1. Open /reservations
2. Search the 2nd row's customer
3. Click Export</t>
  </si>
  <si>
    <t>Customer of the 2nd row</t>
  </si>
  <si>
    <t>The file holds exactly the reservations listed for the search (same count and numbers)</t>
  </si>
  <si>
    <t>UR-062</t>
  </si>
  <si>
    <t>Export follows the selected status card</t>
  </si>
  <si>
    <t xml:space="preserve">1. Open /reservations
2. Click the Cancelled card
3. Click Export</t>
  </si>
  <si>
    <t>The file holds only the Cancelled reservations, as many as the Cancelled card shows ("Download the current list (with its search and filters)")</t>
  </si>
  <si>
    <t>With the Cancelled card selected, the file holds every reservation of every status instead of only the Cancelled ones (OBS-11)</t>
  </si>
  <si>
    <t>UR-063</t>
  </si>
  <si>
    <t>Export is disabled when nothing is listed</t>
  </si>
  <si>
    <t xml:space="preserve">1. Open /reservations
2. Search a term that matches nothing
3. Try to click Export</t>
  </si>
  <si>
    <t>Export is disabled and nothing downloads</t>
  </si>
  <si>
    <t>UR-064</t>
  </si>
  <si>
    <t>Required fields are marked</t>
  </si>
  <si>
    <t xml:space="preserve">1. Open New Reservation
2. Look at the field labels</t>
  </si>
  <si>
    <t>Opportunity and Unit are marked * (required); Amount (USD), Currency, Expiry and Remarks are not</t>
  </si>
  <si>
    <t>UR-065</t>
  </si>
  <si>
    <t>Negative: a unit without an opportunity is refused</t>
  </si>
  <si>
    <t xml:space="preserve">1. Open New Reservation
2. Leave Opportunity empty; Choose Unit › Select an available unit
3. Click Create Reservation</t>
  </si>
  <si>
    <t>First available unit; no opportunity</t>
  </si>
  <si>
    <t>UR-066</t>
  </si>
  <si>
    <t>Negative: a negative amount is refused</t>
  </si>
  <si>
    <t>Logged in as CRM Administrator; the test opportunity at Reservation Ready with no active reservation (after UR-052)</t>
  </si>
  <si>
    <t xml:space="preserve">1. Open New Reservation; choose the test opportunity and an available unit
2. Type -100 in Amount (USD)
3. Click Create Reservation</t>
  </si>
  <si>
    <t>Amount -100</t>
  </si>
  <si>
    <t>No reservation is created and a message says the amount must be 0 or more</t>
  </si>
  <si>
    <t>Refused (400) with "Validation Failed — reservationAmount: Too small: expected number to be &gt;=0" — technical wording (OBS-13)</t>
  </si>
  <si>
    <t>UR-067</t>
  </si>
  <si>
    <t>Negative: a non-numeric amount is refused</t>
  </si>
  <si>
    <t xml:space="preserve">1. Open New Reservation; choose the test opportunity and an available unit
2. Type abc in Amount (USD)
3. Click Create Reservation</t>
  </si>
  <si>
    <t>Amount "abc"</t>
  </si>
  <si>
    <t>No reservation is created and a message asks for a valid amount</t>
  </si>
  <si>
    <t>Saved anyway (201) with no amount; the test cancelled it straight away (OBS-02)</t>
  </si>
  <si>
    <t>UR-068</t>
  </si>
  <si>
    <t>Negative: a reservation needs an expiry date</t>
  </si>
  <si>
    <t xml:space="preserve">1. Open New Reservation; choose the test opportunity and an available unit
2. Open Expiry and click Clear
3. Click Create Reservation</t>
  </si>
  <si>
    <t>Expiry cleared</t>
  </si>
  <si>
    <t>No reservation is created and a message asks for the expiry date (a reservation without expiry would hold the unit indefinitely)</t>
  </si>
  <si>
    <t>Saved anyway (201) with no expiry date; the test cancelled it straight away (OBS-12)</t>
  </si>
  <si>
    <t>UR-069</t>
  </si>
  <si>
    <t>Positive: only the required fields are enough</t>
  </si>
  <si>
    <t xml:space="preserve">1. Open New Reservation
2. Choose the test opportunity and an available unit (Amount fills in, Expiry keeps its default, Remarks left blank)
3. Click Create Reservation
4. Afterwards the test cancels the reservation to release the unit</t>
  </si>
  <si>
    <t>Remarks left blank</t>
  </si>
  <si>
    <t>Notice "Reservation Created"; the reservation is Requested with the chosen unit, the filled-in amount and the default expiry; Remarks are empty</t>
  </si>
  <si>
    <t>Obs ID</t>
  </si>
  <si>
    <t>Observation</t>
  </si>
  <si>
    <t>Expected / Question</t>
  </si>
  <si>
    <t>Suggested severity</t>
  </si>
  <si>
    <t>Related TC</t>
  </si>
  <si>
    <t>OBS-01</t>
  </si>
  <si>
    <t>Requested and Superseded reservations are not counted in any status card: All Reservations 120 vs Active 29 + Converted 82 + Cancelled 7 = 118.</t>
  </si>
  <si>
    <t>Add a Requested (and Superseded) card, or state which statuses each card covers.</t>
  </si>
  <si>
    <t>OBS-02</t>
  </si>
  <si>
    <t>A reservation is saved without an amount: clearing Amount, typing a non-number ("abc"), or clicking Create before it fills in all create the reservation with no amount (201).</t>
  </si>
  <si>
    <t>Make Amount required (&gt; 0) in the form and the backend.</t>
  </si>
  <si>
    <t>UR-032, UR-067</t>
  </si>
  <si>
    <t>OBS-03</t>
  </si>
  <si>
    <t>Sorting by Amount does not follow the USD amounts shown (descending lists "0 USD" before "0.96M USD" and "9,595.3 USD" before "0.47M USD"); amounts in KES / AED seem to be sorted on their original value.</t>
  </si>
  <si>
    <t>Sort on the amount converted to the base currency, as shown.</t>
  </si>
  <si>
    <t>OBS-04</t>
  </si>
  <si>
    <t>After a reservation created on the Reservations page is approved, the opportunity stays "Reservation Ready" ("Moved to Reservation" Up next) and is still offered for a new reservation.</t>
  </si>
  <si>
    <t>Move the opportunity to "Moved to Reservation" when its reservation is created / approved, and stop offering it.</t>
  </si>
  <si>
    <t>OBS-05</t>
  </si>
  <si>
    <t>On approval, "Moved to Proposal" is shown as Done although no proposal exists and the next step is "Move to Proposal".</t>
  </si>
  <si>
    <t>Mark it Done only when a proposal is created.</t>
  </si>
  <si>
    <t>OBS-06</t>
  </si>
  <si>
    <t>A cancelled reservation still offers "Retry ERP Sync" ("The reservation deposit is waiting to be sent to ERP").</t>
  </si>
  <si>
    <t>Do not offer to send a deposit to ERP for a cancelled reservation (or send a cancellation instead).</t>
  </si>
  <si>
    <t>OBS-07</t>
  </si>
  <si>
    <t>Replace Reservation opened from the register does not preselect the reservation's opportunity (it was preselected only when the detail opened right after creating the reservation).</t>
  </si>
  <si>
    <t>Always preselect the opportunity being replaced.</t>
  </si>
  <si>
    <t>OBS-08</t>
  </si>
  <si>
    <t>A link to a reservation that does not exist (/reservations?selected=&lt;unknown id&gt;) shows no "not found" message.</t>
  </si>
  <si>
    <t>Tell the user the reservation was not found or is not accessible.</t>
  </si>
  <si>
    <t>OBS-09</t>
  </si>
  <si>
    <t>Approval and cancellation notes replace the reservation's Remarks, so the original remarks only survive in History.</t>
  </si>
  <si>
    <t>Question: keep the original remarks and show notes separately?</t>
  </si>
  <si>
    <t>UR-046, UR-050</t>
  </si>
  <si>
    <t>OBS-10</t>
  </si>
  <si>
    <t>The Project filter in the unit picker only offers "All projects" (the QA test project is not listed).</t>
  </si>
  <si>
    <t>List every project that has units.</t>
  </si>
  <si>
    <t>OBS-11</t>
  </si>
  <si>
    <t>Export ignores the selected status card: with Cancelled selected (9 listed) the file holds all 124 reservations of every status. The search is respected.</t>
  </si>
  <si>
    <t>Export the current list with its card filter, as the button says.</t>
  </si>
  <si>
    <t>OBS-12</t>
  </si>
  <si>
    <t>A reservation can be saved with no expiry date (Expiry › Clear): it is created with expiry empty, so it would hold the unit indefinitely.</t>
  </si>
  <si>
    <t>Make Expiry required in the form and the backend.</t>
  </si>
  <si>
    <t>OBS-13</t>
  </si>
  <si>
    <t>A negative amount is refused, but the message is technical: "Validation Failed — reservationAmount: Too small: expected number to be &gt;=0".</t>
  </si>
  <si>
    <t>Show a plain message such as "Amount must be 0 or more" next to the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</si>
</sst>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name val="Arial"/>
    </font>
    <font>
      <b/>
      <sz val="10"/>
      <name val="Arial"/>
    </font>
    <font>
      <sz val="10"/>
      <name val="Arial"/>
    </font>
    <font>
      <b/>
      <color rgb="FFFFFFFF"/>
      <sz val="10"/>
      <name val="Arial"/>
    </font>
  </fonts>
  <fills count="3">
    <fill>
      <patternFill patternType="none"/>
    </fill>
    <fill>
      <patternFill patternType="gray125"/>
    </fill>
    <fill>
      <patternFill patternType="solid">
        <fgColor rgb="FF12465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2" borderId="1" xfId="0" applyFont="1" applyFill="1" applyBorder="1"/>
    <xf numFmtId="0" fontId="3" fillId="0" borderId="1" xfId="0" applyFont="1" applyBorder="1"/>
    <xf numFmtId="0" fontId="2" fillId="0" borderId="1" xfId="0" applyFont="1" applyBorder="1"/>
    <xf numFmtId="0" fontId="4" fillId="2" borderId="1" xfId="0" applyFont="1" applyFill="1" applyBorder="1" applyAlignment="1">
      <alignment vertical="center" wrapText="1"/>
    </xf>
    <xf numFmtId="0" fontId="3" fillId="0" borderId="1" xfId="0" applyFont="1" applyBorder="1" applyAlignment="1">
      <alignment vertical="top" wrapText="1"/>
    </xf>
  </cellXfs>
  <cellStyles count="1">
    <cellStyle name="Normal" xfId="0" builtinId="0"/>
  </cellStyles>
  <dxfs count="3">
    <dxf>
      <fill>
        <patternFill patternType="solid">
          <bgColor rgb="FFC6EFCE"/>
        </patternFill>
      </fill>
    </dxf>
    <dxf>
      <fill>
        <patternFill patternType="solid">
          <bgColor rgb="FFFFC7CE"/>
        </patternFill>
      </fill>
    </dxf>
    <dxf>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FormatPr defaultRowHeight="15" outlineLevelRow="0" outlineLevelCol="0" x14ac:dyDescent="55"/>
  <cols>
    <col min="1" max="1" width="32" customWidth="1"/>
    <col min="2" max="2" width="70" customWidth="1"/>
    <col min="3" max="5" width="10" customWidth="1"/>
  </cols>
  <sheetData>
    <row r="1" spans="1:1" x14ac:dyDescent="0.25">
      <c r="A1" s="1" t="s">
        <v>0</v>
      </c>
    </row>
    <row r="3" spans="1:2" x14ac:dyDescent="0.25">
      <c r="A3" s="2" t="s">
        <v>1</v>
      </c>
      <c r="B3" s="3" t="s">
        <v>2</v>
      </c>
    </row>
    <row r="4" spans="1:2" x14ac:dyDescent="0.25">
      <c r="A4" s="2" t="s">
        <v>3</v>
      </c>
      <c r="B4" s="3" t="s">
        <v>4</v>
      </c>
    </row>
    <row r="5" spans="1:2" x14ac:dyDescent="0.25">
      <c r="A5" s="2" t="s">
        <v>5</v>
      </c>
      <c r="B5" s="3" t="s">
        <v>6</v>
      </c>
    </row>
    <row r="6" spans="1:2" x14ac:dyDescent="0.25">
      <c r="A6" s="2" t="s">
        <v>7</v>
      </c>
      <c r="B6" s="3" t="s">
        <v>8</v>
      </c>
    </row>
    <row r="7" spans="1:2" x14ac:dyDescent="0.25">
      <c r="A7" s="2" t="s">
        <v>9</v>
      </c>
      <c r="B7" s="3" t="s">
        <v>10</v>
      </c>
    </row>
    <row r="8" spans="1:2" x14ac:dyDescent="0.25">
      <c r="A8" s="2" t="s">
        <v>11</v>
      </c>
      <c r="B8" s="3" t="s">
        <v>12</v>
      </c>
    </row>
    <row r="9" spans="1:2" x14ac:dyDescent="0.25">
      <c r="A9" s="2" t="s">
        <v>13</v>
      </c>
      <c r="B9" s="3" t="s">
        <v>14</v>
      </c>
    </row>
    <row r="11" spans="1:5" x14ac:dyDescent="0.25">
      <c r="A11" s="4" t="s">
        <v>15</v>
      </c>
      <c r="B11" s="4" t="s">
        <v>16</v>
      </c>
      <c r="C11" s="4" t="s">
        <v>17</v>
      </c>
      <c r="D11" s="4" t="s">
        <v>18</v>
      </c>
      <c r="E11" s="4" t="s">
        <v>19</v>
      </c>
    </row>
    <row r="12" spans="1:5" x14ac:dyDescent="0.25">
      <c r="A12" s="5" t="s">
        <v>20</v>
      </c>
      <c r="B12" s="5">
        <f>COUNTIF('Test Cases'!$B$2:$B$70,A12)</f>
        <v>8</v>
      </c>
      <c r="C12" s="5">
        <f>COUNTIFS('Test Cases'!$B$2:$B$70,A12,'Test Cases'!$K$2:$K$70,"High")</f>
        <v>7</v>
      </c>
      <c r="D12" s="5">
        <f>COUNTIFS('Test Cases'!$B$2:$B$70,A12,'Test Cases'!$L$2:$L$70,"Pass")</f>
        <v>7</v>
      </c>
      <c r="E12" s="5">
        <f>COUNTIFS('Test Cases'!$B$2:$B$70,A12,'Test Cases'!$L$2:$L$70,"Fail")</f>
        <v>1</v>
      </c>
    </row>
    <row r="13" spans="1:5" x14ac:dyDescent="0.25">
      <c r="A13" s="5" t="s">
        <v>21</v>
      </c>
      <c r="B13" s="5">
        <f>COUNTIF('Test Cases'!$B$2:$B$70,A13)</f>
        <v>8</v>
      </c>
      <c r="C13" s="5">
        <f>COUNTIFS('Test Cases'!$B$2:$B$70,A13,'Test Cases'!$K$2:$K$70,"High")</f>
        <v>2</v>
      </c>
      <c r="D13" s="5">
        <f>COUNTIFS('Test Cases'!$B$2:$B$70,A13,'Test Cases'!$L$2:$L$70,"Pass")</f>
        <v>7</v>
      </c>
      <c r="E13" s="5">
        <f>COUNTIFS('Test Cases'!$B$2:$B$70,A13,'Test Cases'!$L$2:$L$70,"Fail")</f>
        <v>1</v>
      </c>
    </row>
    <row r="14" spans="1:5" x14ac:dyDescent="0.25">
      <c r="A14" s="5" t="s">
        <v>22</v>
      </c>
      <c r="B14" s="5">
        <f>COUNTIF('Test Cases'!$B$2:$B$70,A14)</f>
        <v>8</v>
      </c>
      <c r="C14" s="5">
        <f>COUNTIFS('Test Cases'!$B$2:$B$70,A14,'Test Cases'!$K$2:$K$70,"High")</f>
        <v>5</v>
      </c>
      <c r="D14" s="5">
        <f>COUNTIFS('Test Cases'!$B$2:$B$70,A14,'Test Cases'!$L$2:$L$70,"Pass")</f>
        <v>7</v>
      </c>
      <c r="E14" s="5">
        <f>COUNTIFS('Test Cases'!$B$2:$B$70,A14,'Test Cases'!$L$2:$L$70,"Fail")</f>
        <v>1</v>
      </c>
    </row>
    <row r="15" spans="1:5" x14ac:dyDescent="0.25">
      <c r="A15" s="5" t="s">
        <v>23</v>
      </c>
      <c r="B15" s="5">
        <f>COUNTIF('Test Cases'!$B$2:$B$70,A15)</f>
        <v>6</v>
      </c>
      <c r="C15" s="5">
        <f>COUNTIFS('Test Cases'!$B$2:$B$70,A15,'Test Cases'!$K$2:$K$70,"High")</f>
        <v>4</v>
      </c>
      <c r="D15" s="5">
        <f>COUNTIFS('Test Cases'!$B$2:$B$70,A15,'Test Cases'!$L$2:$L$70,"Pass")</f>
        <v>6</v>
      </c>
      <c r="E15" s="5">
        <f>COUNTIFS('Test Cases'!$B$2:$B$70,A15,'Test Cases'!$L$2:$L$70,"Fail")</f>
        <v>0</v>
      </c>
    </row>
    <row r="16" spans="1:5" x14ac:dyDescent="0.25">
      <c r="A16" s="5" t="s">
        <v>24</v>
      </c>
      <c r="B16" s="5">
        <f>COUNTIF('Test Cases'!$B$2:$B$70,A16)</f>
        <v>8</v>
      </c>
      <c r="C16" s="5">
        <f>COUNTIFS('Test Cases'!$B$2:$B$70,A16,'Test Cases'!$K$2:$K$70,"High")</f>
        <v>7</v>
      </c>
      <c r="D16" s="5">
        <f>COUNTIFS('Test Cases'!$B$2:$B$70,A16,'Test Cases'!$L$2:$L$70,"Pass")</f>
        <v>7</v>
      </c>
      <c r="E16" s="5">
        <f>COUNTIFS('Test Cases'!$B$2:$B$70,A16,'Test Cases'!$L$2:$L$70,"Fail")</f>
        <v>1</v>
      </c>
    </row>
    <row r="17" spans="1:5" x14ac:dyDescent="0.25">
      <c r="A17" s="5" t="s">
        <v>25</v>
      </c>
      <c r="B17" s="5">
        <f>COUNTIF('Test Cases'!$B$2:$B$70,A17)</f>
        <v>3</v>
      </c>
      <c r="C17" s="5">
        <f>COUNTIFS('Test Cases'!$B$2:$B$70,A17,'Test Cases'!$K$2:$K$70,"High")</f>
        <v>1</v>
      </c>
      <c r="D17" s="5">
        <f>COUNTIFS('Test Cases'!$B$2:$B$70,A17,'Test Cases'!$L$2:$L$70,"Pass")</f>
        <v>3</v>
      </c>
      <c r="E17" s="5">
        <f>COUNTIFS('Test Cases'!$B$2:$B$70,A17,'Test Cases'!$L$2:$L$70,"Fail")</f>
        <v>0</v>
      </c>
    </row>
    <row r="18" spans="1:5" x14ac:dyDescent="0.25">
      <c r="A18" s="5" t="s">
        <v>26</v>
      </c>
      <c r="B18" s="5">
        <f>COUNTIF('Test Cases'!$B$2:$B$70,A18)</f>
        <v>5</v>
      </c>
      <c r="C18" s="5">
        <f>COUNTIFS('Test Cases'!$B$2:$B$70,A18,'Test Cases'!$K$2:$K$70,"High")</f>
        <v>4</v>
      </c>
      <c r="D18" s="5">
        <f>COUNTIFS('Test Cases'!$B$2:$B$70,A18,'Test Cases'!$L$2:$L$70,"Pass")</f>
        <v>3</v>
      </c>
      <c r="E18" s="5">
        <f>COUNTIFS('Test Cases'!$B$2:$B$70,A18,'Test Cases'!$L$2:$L$70,"Fail")</f>
        <v>1</v>
      </c>
    </row>
    <row r="19" spans="1:5" x14ac:dyDescent="0.25">
      <c r="A19" s="5" t="s">
        <v>27</v>
      </c>
      <c r="B19" s="5">
        <f>COUNTIF('Test Cases'!$B$2:$B$70,A19)</f>
        <v>3</v>
      </c>
      <c r="C19" s="5">
        <f>COUNTIFS('Test Cases'!$B$2:$B$70,A19,'Test Cases'!$K$2:$K$70,"High")</f>
        <v>2</v>
      </c>
      <c r="D19" s="5">
        <f>COUNTIFS('Test Cases'!$B$2:$B$70,A19,'Test Cases'!$L$2:$L$70,"Pass")</f>
        <v>2</v>
      </c>
      <c r="E19" s="5">
        <f>COUNTIFS('Test Cases'!$B$2:$B$70,A19,'Test Cases'!$L$2:$L$70,"Fail")</f>
        <v>1</v>
      </c>
    </row>
    <row r="20" spans="1:5" x14ac:dyDescent="0.25">
      <c r="A20" s="5" t="s">
        <v>28</v>
      </c>
      <c r="B20" s="5">
        <f>COUNTIF('Test Cases'!$B$2:$B$70,A20)</f>
        <v>6</v>
      </c>
      <c r="C20" s="5">
        <f>COUNTIFS('Test Cases'!$B$2:$B$70,A20,'Test Cases'!$K$2:$K$70,"High")</f>
        <v>3</v>
      </c>
      <c r="D20" s="5">
        <f>COUNTIFS('Test Cases'!$B$2:$B$70,A20,'Test Cases'!$L$2:$L$70,"Pass")</f>
        <v>2</v>
      </c>
      <c r="E20" s="5">
        <f>COUNTIFS('Test Cases'!$B$2:$B$70,A20,'Test Cases'!$L$2:$L$70,"Fail")</f>
        <v>2</v>
      </c>
    </row>
    <row r="21" spans="1:5" x14ac:dyDescent="0.25">
      <c r="A21" s="5" t="s">
        <v>29</v>
      </c>
      <c r="B21" s="5">
        <f>COUNTIF('Test Cases'!$B$2:$B$70,A21)</f>
        <v>3</v>
      </c>
      <c r="C21" s="5">
        <f>COUNTIFS('Test Cases'!$B$2:$B$70,A21,'Test Cases'!$K$2:$K$70,"High")</f>
        <v>3</v>
      </c>
      <c r="D21" s="5">
        <f>COUNTIFS('Test Cases'!$B$2:$B$70,A21,'Test Cases'!$L$2:$L$70,"Pass")</f>
        <v>2</v>
      </c>
      <c r="E21" s="5">
        <f>COUNTIFS('Test Cases'!$B$2:$B$70,A21,'Test Cases'!$L$2:$L$70,"Fail")</f>
        <v>0</v>
      </c>
    </row>
    <row r="22" spans="1:5" x14ac:dyDescent="0.25">
      <c r="A22" s="5" t="s">
        <v>30</v>
      </c>
      <c r="B22" s="5">
        <f>COUNTIF('Test Cases'!$B$2:$B$70,A22)</f>
        <v>5</v>
      </c>
      <c r="C22" s="5">
        <f>COUNTIFS('Test Cases'!$B$2:$B$70,A22,'Test Cases'!$K$2:$K$70,"High")</f>
        <v>4</v>
      </c>
      <c r="D22" s="5">
        <f>COUNTIFS('Test Cases'!$B$2:$B$70,A22,'Test Cases'!$L$2:$L$70,"Pass")</f>
        <v>4</v>
      </c>
      <c r="E22" s="5">
        <f>COUNTIFS('Test Cases'!$B$2:$B$70,A22,'Test Cases'!$L$2:$L$70,"Fail")</f>
        <v>1</v>
      </c>
    </row>
    <row r="23" spans="1:5" x14ac:dyDescent="0.25">
      <c r="A23" s="5" t="s">
        <v>31</v>
      </c>
      <c r="B23" s="5">
        <f>COUNTIF('Test Cases'!$B$2:$B$70,A23)</f>
        <v>6</v>
      </c>
      <c r="C23" s="5">
        <f>COUNTIFS('Test Cases'!$B$2:$B$70,A23,'Test Cases'!$K$2:$K$70,"High")</f>
        <v>5</v>
      </c>
      <c r="D23" s="5">
        <f>COUNTIFS('Test Cases'!$B$2:$B$70,A23,'Test Cases'!$L$2:$L$70,"Pass")</f>
        <v>4</v>
      </c>
      <c r="E23" s="5">
        <f>COUNTIFS('Test Cases'!$B$2:$B$70,A23,'Test Cases'!$L$2:$L$70,"Fail")</f>
        <v>2</v>
      </c>
    </row>
    <row r="24" spans="1:5" x14ac:dyDescent="0.25">
      <c r="A24" s="6" t="s">
        <v>32</v>
      </c>
      <c r="B24" s="5">
        <f>SUM(B12:B23)</f>
        <v>69</v>
      </c>
      <c r="C24" s="5">
        <f>SUM(C12:C23)</f>
        <v>47</v>
      </c>
      <c r="D24" s="5">
        <f>SUM(D12:D23)</f>
        <v>54</v>
      </c>
      <c r="E24" s="5">
        <f>SUM(E12:E23)</f>
        <v>11</v>
      </c>
    </row>
    <row r="26" spans="1:2" x14ac:dyDescent="0.25">
      <c r="A26" s="4" t="s">
        <v>33</v>
      </c>
      <c r="B26" s="4" t="s">
        <v>16</v>
      </c>
    </row>
    <row r="27" spans="1:2" x14ac:dyDescent="0.25">
      <c r="A27" s="5" t="s">
        <v>34</v>
      </c>
      <c r="B27" s="5">
        <f>COUNTIF('Test Cases'!$J$2:$J$70,A27)</f>
        <v>4</v>
      </c>
    </row>
    <row r="28" spans="1:2" x14ac:dyDescent="0.25">
      <c r="A28" s="5" t="s">
        <v>35</v>
      </c>
      <c r="B28" s="5">
        <f>COUNTIF('Test Cases'!$J$2:$J$70,A28)</f>
        <v>5</v>
      </c>
    </row>
    <row r="29" spans="1:2" x14ac:dyDescent="0.25">
      <c r="A29" s="5" t="s">
        <v>36</v>
      </c>
      <c r="B29" s="5">
        <f>COUNTIF('Test Cases'!$J$2:$J$70,A29)</f>
        <v>34</v>
      </c>
    </row>
    <row r="30" spans="1:2" x14ac:dyDescent="0.25">
      <c r="A30" s="5" t="s">
        <v>37</v>
      </c>
      <c r="B30" s="5">
        <f>COUNTIF('Test Cases'!$J$2:$J$70,A30)</f>
        <v>15</v>
      </c>
    </row>
    <row r="31" spans="1:2" x14ac:dyDescent="0.25">
      <c r="A31" s="5" t="s">
        <v>38</v>
      </c>
      <c r="B31" s="5">
        <f>COUNTIF('Test Cases'!$J$2:$J$70,A31)</f>
        <v>7</v>
      </c>
    </row>
    <row r="32" spans="1:2" x14ac:dyDescent="0.25">
      <c r="A32" s="5" t="s">
        <v>39</v>
      </c>
      <c r="B32" s="5">
        <f>COUNTIF('Test Cases'!$J$2:$J$70,A32)</f>
        <v>4</v>
      </c>
    </row>
    <row r="34" spans="1:2" x14ac:dyDescent="0.25">
      <c r="A34" s="4" t="s">
        <v>40</v>
      </c>
      <c r="B34" s="4" t="s">
        <v>16</v>
      </c>
    </row>
    <row r="35" spans="1:2" x14ac:dyDescent="0.25">
      <c r="A35" s="5" t="s">
        <v>17</v>
      </c>
      <c r="B35" s="5">
        <f>COUNTIF('Test Cases'!$K$2:$K$70,A35)</f>
        <v>47</v>
      </c>
    </row>
    <row r="36" spans="1:2" x14ac:dyDescent="0.25">
      <c r="A36" s="5" t="s">
        <v>41</v>
      </c>
      <c r="B36" s="5">
        <f>COUNTIF('Test Cases'!$K$2:$K$70,A36)</f>
        <v>20</v>
      </c>
    </row>
    <row r="37" spans="1:2" x14ac:dyDescent="0.25">
      <c r="A37" s="5" t="s">
        <v>42</v>
      </c>
      <c r="B37" s="5">
        <f>COUNTIF('Test Cases'!$K$2:$K$70,A37)</f>
        <v>2</v>
      </c>
    </row>
    <row r="39" spans="1:2" x14ac:dyDescent="0.25">
      <c r="A39" s="4" t="s">
        <v>43</v>
      </c>
      <c r="B39" s="4" t="s">
        <v>16</v>
      </c>
    </row>
    <row r="40" spans="1:2" x14ac:dyDescent="0.25">
      <c r="A40" s="5" t="s">
        <v>44</v>
      </c>
      <c r="B40" s="5">
        <f>COUNTIF('Test Cases'!$L$2:$L$70,A40)</f>
        <v>0</v>
      </c>
    </row>
    <row r="41" spans="1:2" x14ac:dyDescent="0.25">
      <c r="A41" s="5" t="s">
        <v>18</v>
      </c>
      <c r="B41" s="5">
        <f>COUNTIF('Test Cases'!$L$2:$L$70,A41)</f>
        <v>54</v>
      </c>
    </row>
    <row r="42" spans="1:2" x14ac:dyDescent="0.25">
      <c r="A42" s="5" t="s">
        <v>19</v>
      </c>
      <c r="B42" s="5">
        <f>COUNTIF('Test Cases'!$L$2:$L$70,A42)</f>
        <v>11</v>
      </c>
    </row>
    <row r="43" spans="1:2" x14ac:dyDescent="0.25">
      <c r="A43" s="5" t="s">
        <v>45</v>
      </c>
      <c r="B43" s="5">
        <f>COUNTIF('Test Cases'!$L$2:$L$70,A43)</f>
        <v>4</v>
      </c>
    </row>
    <row r="44" spans="1:2" x14ac:dyDescent="0.25">
      <c r="A44" s="5" t="s">
        <v>46</v>
      </c>
      <c r="B44" s="5">
        <f>COUNTIF('Test Cases'!$L$2:$L$70,A44)</f>
        <v>0</v>
      </c>
    </row>
    <row r="46" spans="1:2" x14ac:dyDescent="0.25">
      <c r="A46" s="6" t="s">
        <v>47</v>
      </c>
      <c r="B46" s="5">
        <f>COUNTA(Observations!$A$2:$A$14)</f>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0"/>
  <sheetViews>
    <sheetView workbookViewId="0">
      <pane xSplit="4" ySplit="1" topLeftCell="E2" activePane="bottomRight" state="frozen"/>
      <selection pane="bottomRight"/>
    </sheetView>
  </sheetViews>
  <sheetFormatPr defaultRowHeight="15" outlineLevelRow="0" outlineLevelCol="0" x14ac:dyDescent="55"/>
  <cols>
    <col min="1" max="1" width="10" customWidth="1"/>
    <col min="2" max="2" width="14" customWidth="1"/>
    <col min="3" max="3" width="18" customWidth="1"/>
    <col min="4" max="4" width="38" customWidth="1"/>
    <col min="5" max="5" width="30" customWidth="1"/>
    <col min="6" max="6" width="48" customWidth="1"/>
    <col min="7" max="7" width="24" customWidth="1"/>
    <col min="8" max="8" width="52" customWidth="1"/>
    <col min="9" max="9" width="44" customWidth="1"/>
    <col min="10" max="10" width="12" customWidth="1"/>
    <col min="11" max="11" width="10" customWidth="1"/>
    <col min="12" max="12" width="12" customWidth="1"/>
    <col min="13" max="13" width="30" customWidth="1"/>
    <col min="14" max="14" width="24" customWidth="1"/>
  </cols>
  <sheetData>
    <row r="1" ht="30" customHeight="1" spans="1:14" x14ac:dyDescent="0.25">
      <c r="A1" s="7" t="s">
        <v>48</v>
      </c>
      <c r="B1" s="7" t="s">
        <v>49</v>
      </c>
      <c r="C1" s="7" t="s">
        <v>50</v>
      </c>
      <c r="D1" s="7" t="s">
        <v>51</v>
      </c>
      <c r="E1" s="7" t="s">
        <v>52</v>
      </c>
      <c r="F1" s="7" t="s">
        <v>53</v>
      </c>
      <c r="G1" s="7" t="s">
        <v>54</v>
      </c>
      <c r="H1" s="7" t="s">
        <v>55</v>
      </c>
      <c r="I1" s="7" t="s">
        <v>56</v>
      </c>
      <c r="J1" s="7" t="s">
        <v>57</v>
      </c>
      <c r="K1" s="7" t="s">
        <v>58</v>
      </c>
      <c r="L1" s="7" t="s">
        <v>59</v>
      </c>
      <c r="M1" s="7" t="s">
        <v>60</v>
      </c>
      <c r="N1" s="7" t="s">
        <v>61</v>
      </c>
    </row>
    <row r="2" spans="1:14" x14ac:dyDescent="0.25">
      <c r="A2" s="8" t="s">
        <v>62</v>
      </c>
      <c r="B2" s="8" t="s">
        <v>20</v>
      </c>
      <c r="C2" s="8" t="s">
        <v>34</v>
      </c>
      <c r="D2" s="8" t="s">
        <v>63</v>
      </c>
      <c r="E2" s="8" t="s">
        <v>64</v>
      </c>
      <c r="F2" s="8" t="s">
        <v>65</v>
      </c>
      <c r="G2" s="8" t="s">
        <v>66</v>
      </c>
      <c r="H2" s="8" t="s">
        <v>67</v>
      </c>
      <c r="I2" s="8" t="s">
        <v>68</v>
      </c>
      <c r="J2" s="8" t="s">
        <v>34</v>
      </c>
      <c r="K2" s="8" t="s">
        <v>17</v>
      </c>
      <c r="L2" s="8" t="s">
        <v>18</v>
      </c>
      <c r="M2" s="8" t="s">
        <v>66</v>
      </c>
      <c r="N2" s="8" t="s">
        <v>69</v>
      </c>
    </row>
    <row r="3" spans="1:14" x14ac:dyDescent="0.25">
      <c r="A3" s="8" t="s">
        <v>70</v>
      </c>
      <c r="B3" s="8" t="s">
        <v>20</v>
      </c>
      <c r="C3" s="8" t="s">
        <v>71</v>
      </c>
      <c r="D3" s="8" t="s">
        <v>72</v>
      </c>
      <c r="E3" s="8" t="s">
        <v>64</v>
      </c>
      <c r="F3" s="8" t="s">
        <v>73</v>
      </c>
      <c r="G3" s="8" t="s">
        <v>66</v>
      </c>
      <c r="H3" s="8" t="s">
        <v>74</v>
      </c>
      <c r="I3" s="8" t="s">
        <v>68</v>
      </c>
      <c r="J3" s="8" t="s">
        <v>35</v>
      </c>
      <c r="K3" s="8" t="s">
        <v>17</v>
      </c>
      <c r="L3" s="8" t="s">
        <v>18</v>
      </c>
      <c r="M3" s="8" t="s">
        <v>66</v>
      </c>
      <c r="N3" s="8" t="s">
        <v>69</v>
      </c>
    </row>
    <row r="4" spans="1:14" x14ac:dyDescent="0.25">
      <c r="A4" s="8" t="s">
        <v>75</v>
      </c>
      <c r="B4" s="8" t="s">
        <v>20</v>
      </c>
      <c r="C4" s="8" t="s">
        <v>76</v>
      </c>
      <c r="D4" s="8" t="s">
        <v>77</v>
      </c>
      <c r="E4" s="8" t="s">
        <v>64</v>
      </c>
      <c r="F4" s="8" t="s">
        <v>78</v>
      </c>
      <c r="G4" s="8" t="s">
        <v>66</v>
      </c>
      <c r="H4" s="8" t="s">
        <v>79</v>
      </c>
      <c r="I4" s="8" t="s">
        <v>68</v>
      </c>
      <c r="J4" s="8" t="s">
        <v>35</v>
      </c>
      <c r="K4" s="8" t="s">
        <v>41</v>
      </c>
      <c r="L4" s="8" t="s">
        <v>18</v>
      </c>
      <c r="M4" s="8" t="s">
        <v>66</v>
      </c>
      <c r="N4" s="8" t="s">
        <v>69</v>
      </c>
    </row>
    <row r="5" spans="1:14" x14ac:dyDescent="0.25">
      <c r="A5" s="8" t="s">
        <v>80</v>
      </c>
      <c r="B5" s="8" t="s">
        <v>20</v>
      </c>
      <c r="C5" s="8" t="s">
        <v>76</v>
      </c>
      <c r="D5" s="8" t="s">
        <v>81</v>
      </c>
      <c r="E5" s="8" t="s">
        <v>64</v>
      </c>
      <c r="F5" s="8" t="s">
        <v>82</v>
      </c>
      <c r="G5" s="8" t="s">
        <v>66</v>
      </c>
      <c r="H5" s="8" t="s">
        <v>83</v>
      </c>
      <c r="I5" s="8" t="s">
        <v>84</v>
      </c>
      <c r="J5" s="8" t="s">
        <v>38</v>
      </c>
      <c r="K5" s="8" t="s">
        <v>17</v>
      </c>
      <c r="L5" s="8" t="s">
        <v>19</v>
      </c>
      <c r="M5" s="8" t="s">
        <v>66</v>
      </c>
      <c r="N5" s="8" t="s">
        <v>69</v>
      </c>
    </row>
    <row r="6" spans="1:14" x14ac:dyDescent="0.25">
      <c r="A6" s="8" t="s">
        <v>85</v>
      </c>
      <c r="B6" s="8" t="s">
        <v>20</v>
      </c>
      <c r="C6" s="8" t="s">
        <v>76</v>
      </c>
      <c r="D6" s="8" t="s">
        <v>86</v>
      </c>
      <c r="E6" s="8" t="s">
        <v>64</v>
      </c>
      <c r="F6" s="8" t="s">
        <v>87</v>
      </c>
      <c r="G6" s="8" t="s">
        <v>66</v>
      </c>
      <c r="H6" s="8" t="s">
        <v>88</v>
      </c>
      <c r="I6" s="8" t="s">
        <v>68</v>
      </c>
      <c r="J6" s="8" t="s">
        <v>36</v>
      </c>
      <c r="K6" s="8" t="s">
        <v>17</v>
      </c>
      <c r="L6" s="8" t="s">
        <v>18</v>
      </c>
      <c r="M6" s="8" t="s">
        <v>66</v>
      </c>
      <c r="N6" s="8" t="s">
        <v>69</v>
      </c>
    </row>
    <row r="7" spans="1:14" x14ac:dyDescent="0.25">
      <c r="A7" s="8" t="s">
        <v>89</v>
      </c>
      <c r="B7" s="8" t="s">
        <v>20</v>
      </c>
      <c r="C7" s="8" t="s">
        <v>76</v>
      </c>
      <c r="D7" s="8" t="s">
        <v>90</v>
      </c>
      <c r="E7" s="8" t="s">
        <v>64</v>
      </c>
      <c r="F7" s="8" t="s">
        <v>91</v>
      </c>
      <c r="G7" s="8" t="s">
        <v>66</v>
      </c>
      <c r="H7" s="8" t="s">
        <v>92</v>
      </c>
      <c r="I7" s="8" t="s">
        <v>68</v>
      </c>
      <c r="J7" s="8" t="s">
        <v>38</v>
      </c>
      <c r="K7" s="8" t="s">
        <v>17</v>
      </c>
      <c r="L7" s="8" t="s">
        <v>18</v>
      </c>
      <c r="M7" s="8" t="s">
        <v>66</v>
      </c>
      <c r="N7" s="8" t="s">
        <v>69</v>
      </c>
    </row>
    <row r="8" spans="1:14" x14ac:dyDescent="0.25">
      <c r="A8" s="8" t="s">
        <v>93</v>
      </c>
      <c r="B8" s="8" t="s">
        <v>20</v>
      </c>
      <c r="C8" s="8" t="s">
        <v>71</v>
      </c>
      <c r="D8" s="8" t="s">
        <v>94</v>
      </c>
      <c r="E8" s="8" t="s">
        <v>64</v>
      </c>
      <c r="F8" s="8" t="s">
        <v>95</v>
      </c>
      <c r="G8" s="8" t="s">
        <v>66</v>
      </c>
      <c r="H8" s="8" t="s">
        <v>96</v>
      </c>
      <c r="I8" s="8" t="s">
        <v>68</v>
      </c>
      <c r="J8" s="8" t="s">
        <v>36</v>
      </c>
      <c r="K8" s="8" t="s">
        <v>17</v>
      </c>
      <c r="L8" s="8" t="s">
        <v>18</v>
      </c>
      <c r="M8" s="8" t="s">
        <v>66</v>
      </c>
      <c r="N8" s="8" t="s">
        <v>69</v>
      </c>
    </row>
    <row r="9" spans="1:14" x14ac:dyDescent="0.25">
      <c r="A9" s="8" t="s">
        <v>97</v>
      </c>
      <c r="B9" s="8" t="s">
        <v>20</v>
      </c>
      <c r="C9" s="8" t="s">
        <v>71</v>
      </c>
      <c r="D9" s="8" t="s">
        <v>98</v>
      </c>
      <c r="E9" s="8" t="s">
        <v>64</v>
      </c>
      <c r="F9" s="8" t="s">
        <v>99</v>
      </c>
      <c r="G9" s="8" t="s">
        <v>66</v>
      </c>
      <c r="H9" s="8" t="s">
        <v>100</v>
      </c>
      <c r="I9" s="8" t="s">
        <v>68</v>
      </c>
      <c r="J9" s="8" t="s">
        <v>36</v>
      </c>
      <c r="K9" s="8" t="s">
        <v>17</v>
      </c>
      <c r="L9" s="8" t="s">
        <v>18</v>
      </c>
      <c r="M9" s="8" t="s">
        <v>66</v>
      </c>
      <c r="N9" s="8" t="s">
        <v>69</v>
      </c>
    </row>
    <row r="10" spans="1:14" x14ac:dyDescent="0.25">
      <c r="A10" s="8" t="s">
        <v>101</v>
      </c>
      <c r="B10" s="8" t="s">
        <v>21</v>
      </c>
      <c r="C10" s="8" t="s">
        <v>102</v>
      </c>
      <c r="D10" s="8" t="s">
        <v>103</v>
      </c>
      <c r="E10" s="8" t="s">
        <v>64</v>
      </c>
      <c r="F10" s="8" t="s">
        <v>104</v>
      </c>
      <c r="G10" s="8" t="s">
        <v>105</v>
      </c>
      <c r="H10" s="8" t="s">
        <v>106</v>
      </c>
      <c r="I10" s="8" t="s">
        <v>68</v>
      </c>
      <c r="J10" s="8" t="s">
        <v>36</v>
      </c>
      <c r="K10" s="8" t="s">
        <v>17</v>
      </c>
      <c r="L10" s="8" t="s">
        <v>18</v>
      </c>
      <c r="M10" s="8" t="s">
        <v>66</v>
      </c>
      <c r="N10" s="8" t="s">
        <v>107</v>
      </c>
    </row>
    <row r="11" spans="1:14" x14ac:dyDescent="0.25">
      <c r="A11" s="8" t="s">
        <v>108</v>
      </c>
      <c r="B11" s="8" t="s">
        <v>21</v>
      </c>
      <c r="C11" s="8" t="s">
        <v>102</v>
      </c>
      <c r="D11" s="8" t="s">
        <v>109</v>
      </c>
      <c r="E11" s="8" t="s">
        <v>64</v>
      </c>
      <c r="F11" s="8" t="s">
        <v>110</v>
      </c>
      <c r="G11" s="8" t="s">
        <v>111</v>
      </c>
      <c r="H11" s="8" t="s">
        <v>112</v>
      </c>
      <c r="I11" s="8" t="s">
        <v>68</v>
      </c>
      <c r="J11" s="8" t="s">
        <v>36</v>
      </c>
      <c r="K11" s="8" t="s">
        <v>17</v>
      </c>
      <c r="L11" s="8" t="s">
        <v>18</v>
      </c>
      <c r="M11" s="8" t="s">
        <v>66</v>
      </c>
      <c r="N11" s="8" t="s">
        <v>107</v>
      </c>
    </row>
    <row r="12" spans="1:14" x14ac:dyDescent="0.25">
      <c r="A12" s="8" t="s">
        <v>113</v>
      </c>
      <c r="B12" s="8" t="s">
        <v>21</v>
      </c>
      <c r="C12" s="8" t="s">
        <v>102</v>
      </c>
      <c r="D12" s="8" t="s">
        <v>114</v>
      </c>
      <c r="E12" s="8" t="s">
        <v>64</v>
      </c>
      <c r="F12" s="8" t="s">
        <v>115</v>
      </c>
      <c r="G12" s="8" t="s">
        <v>116</v>
      </c>
      <c r="H12" s="8" t="s">
        <v>117</v>
      </c>
      <c r="I12" s="8" t="s">
        <v>68</v>
      </c>
      <c r="J12" s="8" t="s">
        <v>37</v>
      </c>
      <c r="K12" s="8" t="s">
        <v>41</v>
      </c>
      <c r="L12" s="8" t="s">
        <v>18</v>
      </c>
      <c r="M12" s="8" t="s">
        <v>66</v>
      </c>
      <c r="N12" s="8" t="s">
        <v>107</v>
      </c>
    </row>
    <row r="13" spans="1:14" x14ac:dyDescent="0.25">
      <c r="A13" s="8" t="s">
        <v>118</v>
      </c>
      <c r="B13" s="8" t="s">
        <v>21</v>
      </c>
      <c r="C13" s="8" t="s">
        <v>102</v>
      </c>
      <c r="D13" s="8" t="s">
        <v>119</v>
      </c>
      <c r="E13" s="8" t="s">
        <v>64</v>
      </c>
      <c r="F13" s="8" t="s">
        <v>120</v>
      </c>
      <c r="G13" s="8" t="s">
        <v>121</v>
      </c>
      <c r="H13" s="8" t="s">
        <v>122</v>
      </c>
      <c r="I13" s="8" t="s">
        <v>68</v>
      </c>
      <c r="J13" s="8" t="s">
        <v>36</v>
      </c>
      <c r="K13" s="8" t="s">
        <v>41</v>
      </c>
      <c r="L13" s="8" t="s">
        <v>18</v>
      </c>
      <c r="M13" s="8" t="s">
        <v>66</v>
      </c>
      <c r="N13" s="8" t="s">
        <v>107</v>
      </c>
    </row>
    <row r="14" spans="1:14" x14ac:dyDescent="0.25">
      <c r="A14" s="8" t="s">
        <v>123</v>
      </c>
      <c r="B14" s="8" t="s">
        <v>21</v>
      </c>
      <c r="C14" s="8" t="s">
        <v>76</v>
      </c>
      <c r="D14" s="8" t="s">
        <v>124</v>
      </c>
      <c r="E14" s="8" t="s">
        <v>64</v>
      </c>
      <c r="F14" s="8" t="s">
        <v>125</v>
      </c>
      <c r="G14" s="8" t="s">
        <v>126</v>
      </c>
      <c r="H14" s="8" t="s">
        <v>127</v>
      </c>
      <c r="I14" s="8" t="s">
        <v>68</v>
      </c>
      <c r="J14" s="8" t="s">
        <v>38</v>
      </c>
      <c r="K14" s="8" t="s">
        <v>41</v>
      </c>
      <c r="L14" s="8" t="s">
        <v>18</v>
      </c>
      <c r="M14" s="8" t="s">
        <v>66</v>
      </c>
      <c r="N14" s="8" t="s">
        <v>107</v>
      </c>
    </row>
    <row r="15" spans="1:14" x14ac:dyDescent="0.25">
      <c r="A15" s="8" t="s">
        <v>128</v>
      </c>
      <c r="B15" s="8" t="s">
        <v>21</v>
      </c>
      <c r="C15" s="8" t="s">
        <v>129</v>
      </c>
      <c r="D15" s="8" t="s">
        <v>130</v>
      </c>
      <c r="E15" s="8" t="s">
        <v>64</v>
      </c>
      <c r="F15" s="8" t="s">
        <v>131</v>
      </c>
      <c r="G15" s="8" t="s">
        <v>66</v>
      </c>
      <c r="H15" s="8" t="s">
        <v>132</v>
      </c>
      <c r="I15" s="8" t="s">
        <v>133</v>
      </c>
      <c r="J15" s="8" t="s">
        <v>36</v>
      </c>
      <c r="K15" s="8" t="s">
        <v>41</v>
      </c>
      <c r="L15" s="8" t="s">
        <v>19</v>
      </c>
      <c r="M15" s="8" t="s">
        <v>66</v>
      </c>
      <c r="N15" s="8" t="s">
        <v>107</v>
      </c>
    </row>
    <row r="16" spans="1:14" x14ac:dyDescent="0.25">
      <c r="A16" s="8" t="s">
        <v>134</v>
      </c>
      <c r="B16" s="8" t="s">
        <v>21</v>
      </c>
      <c r="C16" s="8" t="s">
        <v>129</v>
      </c>
      <c r="D16" s="8" t="s">
        <v>135</v>
      </c>
      <c r="E16" s="8" t="s">
        <v>64</v>
      </c>
      <c r="F16" s="8" t="s">
        <v>136</v>
      </c>
      <c r="G16" s="8" t="s">
        <v>66</v>
      </c>
      <c r="H16" s="8" t="s">
        <v>137</v>
      </c>
      <c r="I16" s="8" t="s">
        <v>68</v>
      </c>
      <c r="J16" s="8" t="s">
        <v>36</v>
      </c>
      <c r="K16" s="8" t="s">
        <v>41</v>
      </c>
      <c r="L16" s="8" t="s">
        <v>18</v>
      </c>
      <c r="M16" s="8" t="s">
        <v>66</v>
      </c>
      <c r="N16" s="8" t="s">
        <v>107</v>
      </c>
    </row>
    <row r="17" spans="1:14" x14ac:dyDescent="0.25">
      <c r="A17" s="8" t="s">
        <v>138</v>
      </c>
      <c r="B17" s="8" t="s">
        <v>21</v>
      </c>
      <c r="C17" s="8" t="s">
        <v>129</v>
      </c>
      <c r="D17" s="8" t="s">
        <v>139</v>
      </c>
      <c r="E17" s="8" t="s">
        <v>64</v>
      </c>
      <c r="F17" s="8" t="s">
        <v>140</v>
      </c>
      <c r="G17" s="8" t="s">
        <v>66</v>
      </c>
      <c r="H17" s="8" t="s">
        <v>141</v>
      </c>
      <c r="I17" s="8" t="s">
        <v>68</v>
      </c>
      <c r="J17" s="8" t="s">
        <v>36</v>
      </c>
      <c r="K17" s="8" t="s">
        <v>42</v>
      </c>
      <c r="L17" s="8" t="s">
        <v>18</v>
      </c>
      <c r="M17" s="8" t="s">
        <v>66</v>
      </c>
      <c r="N17" s="8" t="s">
        <v>107</v>
      </c>
    </row>
    <row r="18" spans="1:14" x14ac:dyDescent="0.25">
      <c r="A18" s="8" t="s">
        <v>142</v>
      </c>
      <c r="B18" s="8" t="s">
        <v>22</v>
      </c>
      <c r="C18" s="8" t="s">
        <v>143</v>
      </c>
      <c r="D18" s="8" t="s">
        <v>144</v>
      </c>
      <c r="E18" s="8" t="s">
        <v>64</v>
      </c>
      <c r="F18" s="8" t="s">
        <v>145</v>
      </c>
      <c r="G18" s="8" t="s">
        <v>66</v>
      </c>
      <c r="H18" s="8" t="s">
        <v>146</v>
      </c>
      <c r="I18" s="8" t="s">
        <v>68</v>
      </c>
      <c r="J18" s="8" t="s">
        <v>36</v>
      </c>
      <c r="K18" s="8" t="s">
        <v>17</v>
      </c>
      <c r="L18" s="8" t="s">
        <v>18</v>
      </c>
      <c r="M18" s="8" t="s">
        <v>66</v>
      </c>
      <c r="N18" s="8" t="s">
        <v>69</v>
      </c>
    </row>
    <row r="19" spans="1:14" x14ac:dyDescent="0.25">
      <c r="A19" s="8" t="s">
        <v>147</v>
      </c>
      <c r="B19" s="8" t="s">
        <v>22</v>
      </c>
      <c r="C19" s="8" t="s">
        <v>143</v>
      </c>
      <c r="D19" s="8" t="s">
        <v>148</v>
      </c>
      <c r="E19" s="8" t="s">
        <v>64</v>
      </c>
      <c r="F19" s="8" t="s">
        <v>149</v>
      </c>
      <c r="G19" s="8" t="s">
        <v>66</v>
      </c>
      <c r="H19" s="8" t="s">
        <v>150</v>
      </c>
      <c r="I19" s="8" t="s">
        <v>68</v>
      </c>
      <c r="J19" s="8" t="s">
        <v>34</v>
      </c>
      <c r="K19" s="8" t="s">
        <v>41</v>
      </c>
      <c r="L19" s="8" t="s">
        <v>18</v>
      </c>
      <c r="M19" s="8" t="s">
        <v>66</v>
      </c>
      <c r="N19" s="8" t="s">
        <v>69</v>
      </c>
    </row>
    <row r="20" spans="1:14" x14ac:dyDescent="0.25">
      <c r="A20" s="8" t="s">
        <v>151</v>
      </c>
      <c r="B20" s="8" t="s">
        <v>22</v>
      </c>
      <c r="C20" s="8" t="s">
        <v>143</v>
      </c>
      <c r="D20" s="8" t="s">
        <v>152</v>
      </c>
      <c r="E20" s="8" t="s">
        <v>64</v>
      </c>
      <c r="F20" s="8" t="s">
        <v>153</v>
      </c>
      <c r="G20" s="8" t="s">
        <v>154</v>
      </c>
      <c r="H20" s="8" t="s">
        <v>155</v>
      </c>
      <c r="I20" s="8" t="s">
        <v>68</v>
      </c>
      <c r="J20" s="8" t="s">
        <v>36</v>
      </c>
      <c r="K20" s="8" t="s">
        <v>17</v>
      </c>
      <c r="L20" s="8" t="s">
        <v>18</v>
      </c>
      <c r="M20" s="8" t="s">
        <v>66</v>
      </c>
      <c r="N20" s="8" t="s">
        <v>69</v>
      </c>
    </row>
    <row r="21" spans="1:14" x14ac:dyDescent="0.25">
      <c r="A21" s="8" t="s">
        <v>156</v>
      </c>
      <c r="B21" s="8" t="s">
        <v>22</v>
      </c>
      <c r="C21" s="8" t="s">
        <v>143</v>
      </c>
      <c r="D21" s="8" t="s">
        <v>157</v>
      </c>
      <c r="E21" s="8" t="s">
        <v>64</v>
      </c>
      <c r="F21" s="8" t="s">
        <v>158</v>
      </c>
      <c r="G21" s="8" t="s">
        <v>159</v>
      </c>
      <c r="H21" s="8" t="s">
        <v>160</v>
      </c>
      <c r="I21" s="8" t="s">
        <v>68</v>
      </c>
      <c r="J21" s="8" t="s">
        <v>36</v>
      </c>
      <c r="K21" s="8" t="s">
        <v>17</v>
      </c>
      <c r="L21" s="8" t="s">
        <v>18</v>
      </c>
      <c r="M21" s="8" t="s">
        <v>66</v>
      </c>
      <c r="N21" s="8" t="s">
        <v>69</v>
      </c>
    </row>
    <row r="22" spans="1:14" x14ac:dyDescent="0.25">
      <c r="A22" s="8" t="s">
        <v>161</v>
      </c>
      <c r="B22" s="8" t="s">
        <v>22</v>
      </c>
      <c r="C22" s="8" t="s">
        <v>143</v>
      </c>
      <c r="D22" s="8" t="s">
        <v>162</v>
      </c>
      <c r="E22" s="8" t="s">
        <v>64</v>
      </c>
      <c r="F22" s="8" t="s">
        <v>163</v>
      </c>
      <c r="G22" s="8" t="s">
        <v>164</v>
      </c>
      <c r="H22" s="8" t="s">
        <v>165</v>
      </c>
      <c r="I22" s="8" t="s">
        <v>68</v>
      </c>
      <c r="J22" s="8" t="s">
        <v>36</v>
      </c>
      <c r="K22" s="8" t="s">
        <v>17</v>
      </c>
      <c r="L22" s="8" t="s">
        <v>18</v>
      </c>
      <c r="M22" s="8" t="s">
        <v>66</v>
      </c>
      <c r="N22" s="8" t="s">
        <v>69</v>
      </c>
    </row>
    <row r="23" spans="1:14" x14ac:dyDescent="0.25">
      <c r="A23" s="8" t="s">
        <v>166</v>
      </c>
      <c r="B23" s="8" t="s">
        <v>22</v>
      </c>
      <c r="C23" s="8" t="s">
        <v>167</v>
      </c>
      <c r="D23" s="8" t="s">
        <v>168</v>
      </c>
      <c r="E23" s="8" t="s">
        <v>64</v>
      </c>
      <c r="F23" s="8" t="s">
        <v>169</v>
      </c>
      <c r="G23" s="8" t="s">
        <v>66</v>
      </c>
      <c r="H23" s="8" t="s">
        <v>170</v>
      </c>
      <c r="I23" s="8" t="s">
        <v>68</v>
      </c>
      <c r="J23" s="8" t="s">
        <v>36</v>
      </c>
      <c r="K23" s="8" t="s">
        <v>41</v>
      </c>
      <c r="L23" s="8" t="s">
        <v>18</v>
      </c>
      <c r="M23" s="8" t="s">
        <v>66</v>
      </c>
      <c r="N23" s="8" t="s">
        <v>69</v>
      </c>
    </row>
    <row r="24" spans="1:14" x14ac:dyDescent="0.25">
      <c r="A24" s="8" t="s">
        <v>171</v>
      </c>
      <c r="B24" s="8" t="s">
        <v>22</v>
      </c>
      <c r="C24" s="8" t="s">
        <v>143</v>
      </c>
      <c r="D24" s="8" t="s">
        <v>172</v>
      </c>
      <c r="E24" s="8" t="s">
        <v>64</v>
      </c>
      <c r="F24" s="8" t="s">
        <v>173</v>
      </c>
      <c r="G24" s="8" t="s">
        <v>66</v>
      </c>
      <c r="H24" s="8" t="s">
        <v>174</v>
      </c>
      <c r="I24" s="8" t="s">
        <v>68</v>
      </c>
      <c r="J24" s="8" t="s">
        <v>34</v>
      </c>
      <c r="K24" s="8" t="s">
        <v>17</v>
      </c>
      <c r="L24" s="8" t="s">
        <v>18</v>
      </c>
      <c r="M24" s="8" t="s">
        <v>66</v>
      </c>
      <c r="N24" s="8" t="s">
        <v>69</v>
      </c>
    </row>
    <row r="25" spans="1:14" x14ac:dyDescent="0.25">
      <c r="A25" s="8" t="s">
        <v>175</v>
      </c>
      <c r="B25" s="8" t="s">
        <v>22</v>
      </c>
      <c r="C25" s="8" t="s">
        <v>143</v>
      </c>
      <c r="D25" s="8" t="s">
        <v>176</v>
      </c>
      <c r="E25" s="8" t="s">
        <v>64</v>
      </c>
      <c r="F25" s="8" t="s">
        <v>177</v>
      </c>
      <c r="G25" s="8" t="s">
        <v>178</v>
      </c>
      <c r="H25" s="8" t="s">
        <v>179</v>
      </c>
      <c r="I25" s="8" t="s">
        <v>180</v>
      </c>
      <c r="J25" s="8" t="s">
        <v>37</v>
      </c>
      <c r="K25" s="8" t="s">
        <v>41</v>
      </c>
      <c r="L25" s="8" t="s">
        <v>19</v>
      </c>
      <c r="M25" s="8" t="s">
        <v>66</v>
      </c>
      <c r="N25" s="8" t="s">
        <v>69</v>
      </c>
    </row>
    <row r="26" spans="1:14" x14ac:dyDescent="0.25">
      <c r="A26" s="8" t="s">
        <v>181</v>
      </c>
      <c r="B26" s="8" t="s">
        <v>23</v>
      </c>
      <c r="C26" s="8" t="s">
        <v>182</v>
      </c>
      <c r="D26" s="8" t="s">
        <v>183</v>
      </c>
      <c r="E26" s="8" t="s">
        <v>64</v>
      </c>
      <c r="F26" s="8" t="s">
        <v>184</v>
      </c>
      <c r="G26" s="8" t="s">
        <v>66</v>
      </c>
      <c r="H26" s="8" t="s">
        <v>185</v>
      </c>
      <c r="I26" s="8" t="s">
        <v>68</v>
      </c>
      <c r="J26" s="8" t="s">
        <v>35</v>
      </c>
      <c r="K26" s="8" t="s">
        <v>17</v>
      </c>
      <c r="L26" s="8" t="s">
        <v>18</v>
      </c>
      <c r="M26" s="8" t="s">
        <v>66</v>
      </c>
      <c r="N26" s="8" t="s">
        <v>186</v>
      </c>
    </row>
    <row r="27" spans="1:14" x14ac:dyDescent="0.25">
      <c r="A27" s="8" t="s">
        <v>187</v>
      </c>
      <c r="B27" s="8" t="s">
        <v>23</v>
      </c>
      <c r="C27" s="8" t="s">
        <v>188</v>
      </c>
      <c r="D27" s="8" t="s">
        <v>189</v>
      </c>
      <c r="E27" s="8" t="s">
        <v>64</v>
      </c>
      <c r="F27" s="8" t="s">
        <v>190</v>
      </c>
      <c r="G27" s="8" t="s">
        <v>66</v>
      </c>
      <c r="H27" s="8" t="s">
        <v>191</v>
      </c>
      <c r="I27" s="8" t="s">
        <v>68</v>
      </c>
      <c r="J27" s="8" t="s">
        <v>37</v>
      </c>
      <c r="K27" s="8" t="s">
        <v>17</v>
      </c>
      <c r="L27" s="8" t="s">
        <v>18</v>
      </c>
      <c r="M27" s="8" t="s">
        <v>66</v>
      </c>
      <c r="N27" s="8" t="s">
        <v>186</v>
      </c>
    </row>
    <row r="28" spans="1:14" x14ac:dyDescent="0.25">
      <c r="A28" s="8" t="s">
        <v>192</v>
      </c>
      <c r="B28" s="8" t="s">
        <v>23</v>
      </c>
      <c r="C28" s="8" t="s">
        <v>188</v>
      </c>
      <c r="D28" s="8" t="s">
        <v>193</v>
      </c>
      <c r="E28" s="8" t="s">
        <v>64</v>
      </c>
      <c r="F28" s="8" t="s">
        <v>194</v>
      </c>
      <c r="G28" s="8" t="s">
        <v>195</v>
      </c>
      <c r="H28" s="8" t="s">
        <v>196</v>
      </c>
      <c r="I28" s="8" t="s">
        <v>68</v>
      </c>
      <c r="J28" s="8" t="s">
        <v>38</v>
      </c>
      <c r="K28" s="8" t="s">
        <v>17</v>
      </c>
      <c r="L28" s="8" t="s">
        <v>18</v>
      </c>
      <c r="M28" s="8" t="s">
        <v>66</v>
      </c>
      <c r="N28" s="8" t="s">
        <v>186</v>
      </c>
    </row>
    <row r="29" spans="1:14" x14ac:dyDescent="0.25">
      <c r="A29" s="8" t="s">
        <v>197</v>
      </c>
      <c r="B29" s="8" t="s">
        <v>23</v>
      </c>
      <c r="C29" s="8" t="s">
        <v>188</v>
      </c>
      <c r="D29" s="8" t="s">
        <v>198</v>
      </c>
      <c r="E29" s="8" t="s">
        <v>64</v>
      </c>
      <c r="F29" s="8" t="s">
        <v>199</v>
      </c>
      <c r="G29" s="8" t="s">
        <v>200</v>
      </c>
      <c r="H29" s="8" t="s">
        <v>201</v>
      </c>
      <c r="I29" s="8" t="s">
        <v>68</v>
      </c>
      <c r="J29" s="8" t="s">
        <v>37</v>
      </c>
      <c r="K29" s="8" t="s">
        <v>17</v>
      </c>
      <c r="L29" s="8" t="s">
        <v>18</v>
      </c>
      <c r="M29" s="8" t="s">
        <v>66</v>
      </c>
      <c r="N29" s="8" t="s">
        <v>186</v>
      </c>
    </row>
    <row r="30" spans="1:14" x14ac:dyDescent="0.25">
      <c r="A30" s="8" t="s">
        <v>202</v>
      </c>
      <c r="B30" s="8" t="s">
        <v>23</v>
      </c>
      <c r="C30" s="8" t="s">
        <v>203</v>
      </c>
      <c r="D30" s="8" t="s">
        <v>204</v>
      </c>
      <c r="E30" s="8" t="s">
        <v>64</v>
      </c>
      <c r="F30" s="8" t="s">
        <v>205</v>
      </c>
      <c r="G30" s="8" t="s">
        <v>66</v>
      </c>
      <c r="H30" s="8" t="s">
        <v>206</v>
      </c>
      <c r="I30" s="8" t="s">
        <v>68</v>
      </c>
      <c r="J30" s="8" t="s">
        <v>36</v>
      </c>
      <c r="K30" s="8" t="s">
        <v>41</v>
      </c>
      <c r="L30" s="8" t="s">
        <v>18</v>
      </c>
      <c r="M30" s="8" t="s">
        <v>66</v>
      </c>
      <c r="N30" s="8" t="s">
        <v>186</v>
      </c>
    </row>
    <row r="31" spans="1:14" x14ac:dyDescent="0.25">
      <c r="A31" s="8" t="s">
        <v>207</v>
      </c>
      <c r="B31" s="8" t="s">
        <v>23</v>
      </c>
      <c r="C31" s="8" t="s">
        <v>182</v>
      </c>
      <c r="D31" s="8" t="s">
        <v>208</v>
      </c>
      <c r="E31" s="8" t="s">
        <v>64</v>
      </c>
      <c r="F31" s="8" t="s">
        <v>209</v>
      </c>
      <c r="G31" s="8" t="s">
        <v>200</v>
      </c>
      <c r="H31" s="8" t="s">
        <v>210</v>
      </c>
      <c r="I31" s="8" t="s">
        <v>68</v>
      </c>
      <c r="J31" s="8" t="s">
        <v>37</v>
      </c>
      <c r="K31" s="8" t="s">
        <v>41</v>
      </c>
      <c r="L31" s="8" t="s">
        <v>18</v>
      </c>
      <c r="M31" s="8" t="s">
        <v>66</v>
      </c>
      <c r="N31" s="8" t="s">
        <v>186</v>
      </c>
    </row>
    <row r="32" spans="1:14" x14ac:dyDescent="0.25">
      <c r="A32" s="8" t="s">
        <v>211</v>
      </c>
      <c r="B32" s="8" t="s">
        <v>24</v>
      </c>
      <c r="C32" s="8" t="s">
        <v>212</v>
      </c>
      <c r="D32" s="8" t="s">
        <v>213</v>
      </c>
      <c r="E32" s="8" t="s">
        <v>64</v>
      </c>
      <c r="F32" s="8" t="s">
        <v>214</v>
      </c>
      <c r="G32" s="8" t="s">
        <v>215</v>
      </c>
      <c r="H32" s="8" t="s">
        <v>216</v>
      </c>
      <c r="I32" s="8" t="s">
        <v>68</v>
      </c>
      <c r="J32" s="8" t="s">
        <v>36</v>
      </c>
      <c r="K32" s="8" t="s">
        <v>17</v>
      </c>
      <c r="L32" s="8" t="s">
        <v>18</v>
      </c>
      <c r="M32" s="8" t="s">
        <v>66</v>
      </c>
      <c r="N32" s="8" t="s">
        <v>217</v>
      </c>
    </row>
    <row r="33" spans="1:14" x14ac:dyDescent="0.25">
      <c r="A33" s="8" t="s">
        <v>218</v>
      </c>
      <c r="B33" s="8" t="s">
        <v>24</v>
      </c>
      <c r="C33" s="8" t="s">
        <v>188</v>
      </c>
      <c r="D33" s="8" t="s">
        <v>219</v>
      </c>
      <c r="E33" s="8" t="s">
        <v>220</v>
      </c>
      <c r="F33" s="8" t="s">
        <v>221</v>
      </c>
      <c r="G33" s="8" t="s">
        <v>222</v>
      </c>
      <c r="H33" s="8" t="s">
        <v>223</v>
      </c>
      <c r="I33" s="8" t="s">
        <v>224</v>
      </c>
      <c r="J33" s="8" t="s">
        <v>37</v>
      </c>
      <c r="K33" s="8" t="s">
        <v>17</v>
      </c>
      <c r="L33" s="8" t="s">
        <v>19</v>
      </c>
      <c r="M33" s="8" t="s">
        <v>66</v>
      </c>
      <c r="N33" s="8" t="s">
        <v>217</v>
      </c>
    </row>
    <row r="34" spans="1:14" x14ac:dyDescent="0.25">
      <c r="A34" s="8" t="s">
        <v>225</v>
      </c>
      <c r="B34" s="8" t="s">
        <v>24</v>
      </c>
      <c r="C34" s="8" t="s">
        <v>182</v>
      </c>
      <c r="D34" s="8" t="s">
        <v>226</v>
      </c>
      <c r="E34" s="8" t="s">
        <v>220</v>
      </c>
      <c r="F34" s="8" t="s">
        <v>227</v>
      </c>
      <c r="G34" s="8" t="s">
        <v>228</v>
      </c>
      <c r="H34" s="8" t="s">
        <v>229</v>
      </c>
      <c r="I34" s="8" t="s">
        <v>68</v>
      </c>
      <c r="J34" s="8" t="s">
        <v>36</v>
      </c>
      <c r="K34" s="8" t="s">
        <v>41</v>
      </c>
      <c r="L34" s="8" t="s">
        <v>18</v>
      </c>
      <c r="M34" s="8" t="s">
        <v>66</v>
      </c>
      <c r="N34" s="8" t="s">
        <v>217</v>
      </c>
    </row>
    <row r="35" spans="1:14" x14ac:dyDescent="0.25">
      <c r="A35" s="8" t="s">
        <v>230</v>
      </c>
      <c r="B35" s="8" t="s">
        <v>24</v>
      </c>
      <c r="C35" s="8" t="s">
        <v>182</v>
      </c>
      <c r="D35" s="8" t="s">
        <v>231</v>
      </c>
      <c r="E35" s="8" t="s">
        <v>220</v>
      </c>
      <c r="F35" s="8" t="s">
        <v>232</v>
      </c>
      <c r="G35" s="8" t="s">
        <v>233</v>
      </c>
      <c r="H35" s="8" t="s">
        <v>234</v>
      </c>
      <c r="I35" s="8" t="s">
        <v>68</v>
      </c>
      <c r="J35" s="8" t="s">
        <v>36</v>
      </c>
      <c r="K35" s="8" t="s">
        <v>17</v>
      </c>
      <c r="L35" s="8" t="s">
        <v>18</v>
      </c>
      <c r="M35" s="8" t="s">
        <v>66</v>
      </c>
      <c r="N35" s="8" t="s">
        <v>217</v>
      </c>
    </row>
    <row r="36" spans="1:14" x14ac:dyDescent="0.25">
      <c r="A36" s="8" t="s">
        <v>235</v>
      </c>
      <c r="B36" s="8" t="s">
        <v>24</v>
      </c>
      <c r="C36" s="8" t="s">
        <v>71</v>
      </c>
      <c r="D36" s="8" t="s">
        <v>236</v>
      </c>
      <c r="E36" s="8" t="s">
        <v>237</v>
      </c>
      <c r="F36" s="8" t="s">
        <v>238</v>
      </c>
      <c r="G36" s="8" t="s">
        <v>66</v>
      </c>
      <c r="H36" s="8" t="s">
        <v>239</v>
      </c>
      <c r="I36" s="8" t="s">
        <v>68</v>
      </c>
      <c r="J36" s="8" t="s">
        <v>38</v>
      </c>
      <c r="K36" s="8" t="s">
        <v>17</v>
      </c>
      <c r="L36" s="8" t="s">
        <v>18</v>
      </c>
      <c r="M36" s="8" t="s">
        <v>66</v>
      </c>
      <c r="N36" s="8" t="s">
        <v>217</v>
      </c>
    </row>
    <row r="37" spans="1:14" x14ac:dyDescent="0.25">
      <c r="A37" s="8" t="s">
        <v>240</v>
      </c>
      <c r="B37" s="8" t="s">
        <v>24</v>
      </c>
      <c r="C37" s="8" t="s">
        <v>241</v>
      </c>
      <c r="D37" s="8" t="s">
        <v>242</v>
      </c>
      <c r="E37" s="8" t="s">
        <v>237</v>
      </c>
      <c r="F37" s="8" t="s">
        <v>243</v>
      </c>
      <c r="G37" s="8" t="s">
        <v>66</v>
      </c>
      <c r="H37" s="8" t="s">
        <v>244</v>
      </c>
      <c r="I37" s="8" t="s">
        <v>68</v>
      </c>
      <c r="J37" s="8" t="s">
        <v>36</v>
      </c>
      <c r="K37" s="8" t="s">
        <v>17</v>
      </c>
      <c r="L37" s="8" t="s">
        <v>18</v>
      </c>
      <c r="M37" s="8" t="s">
        <v>66</v>
      </c>
      <c r="N37" s="8" t="s">
        <v>217</v>
      </c>
    </row>
    <row r="38" spans="1:14" x14ac:dyDescent="0.25">
      <c r="A38" s="8" t="s">
        <v>245</v>
      </c>
      <c r="B38" s="8" t="s">
        <v>24</v>
      </c>
      <c r="C38" s="8" t="s">
        <v>203</v>
      </c>
      <c r="D38" s="8" t="s">
        <v>246</v>
      </c>
      <c r="E38" s="8" t="s">
        <v>237</v>
      </c>
      <c r="F38" s="8" t="s">
        <v>247</v>
      </c>
      <c r="G38" s="8" t="s">
        <v>248</v>
      </c>
      <c r="H38" s="8" t="s">
        <v>249</v>
      </c>
      <c r="I38" s="8" t="s">
        <v>68</v>
      </c>
      <c r="J38" s="8" t="s">
        <v>37</v>
      </c>
      <c r="K38" s="8" t="s">
        <v>17</v>
      </c>
      <c r="L38" s="8" t="s">
        <v>18</v>
      </c>
      <c r="M38" s="8" t="s">
        <v>66</v>
      </c>
      <c r="N38" s="8" t="s">
        <v>217</v>
      </c>
    </row>
    <row r="39" spans="1:14" x14ac:dyDescent="0.25">
      <c r="A39" s="8" t="s">
        <v>250</v>
      </c>
      <c r="B39" s="8" t="s">
        <v>24</v>
      </c>
      <c r="C39" s="8" t="s">
        <v>188</v>
      </c>
      <c r="D39" s="8" t="s">
        <v>251</v>
      </c>
      <c r="E39" s="8" t="s">
        <v>237</v>
      </c>
      <c r="F39" s="8" t="s">
        <v>252</v>
      </c>
      <c r="G39" s="8" t="s">
        <v>253</v>
      </c>
      <c r="H39" s="8" t="s">
        <v>254</v>
      </c>
      <c r="I39" s="8" t="s">
        <v>68</v>
      </c>
      <c r="J39" s="8" t="s">
        <v>37</v>
      </c>
      <c r="K39" s="8" t="s">
        <v>17</v>
      </c>
      <c r="L39" s="8" t="s">
        <v>18</v>
      </c>
      <c r="M39" s="8" t="s">
        <v>66</v>
      </c>
      <c r="N39" s="8" t="s">
        <v>217</v>
      </c>
    </row>
    <row r="40" spans="1:14" x14ac:dyDescent="0.25">
      <c r="A40" s="8" t="s">
        <v>255</v>
      </c>
      <c r="B40" s="8" t="s">
        <v>25</v>
      </c>
      <c r="C40" s="8" t="s">
        <v>256</v>
      </c>
      <c r="D40" s="8" t="s">
        <v>257</v>
      </c>
      <c r="E40" s="8" t="s">
        <v>237</v>
      </c>
      <c r="F40" s="8" t="s">
        <v>258</v>
      </c>
      <c r="G40" s="8" t="s">
        <v>259</v>
      </c>
      <c r="H40" s="8" t="s">
        <v>260</v>
      </c>
      <c r="I40" s="8" t="s">
        <v>68</v>
      </c>
      <c r="J40" s="8" t="s">
        <v>37</v>
      </c>
      <c r="K40" s="8" t="s">
        <v>41</v>
      </c>
      <c r="L40" s="8" t="s">
        <v>18</v>
      </c>
      <c r="M40" s="8" t="s">
        <v>66</v>
      </c>
      <c r="N40" s="8" t="s">
        <v>217</v>
      </c>
    </row>
    <row r="41" spans="1:14" x14ac:dyDescent="0.25">
      <c r="A41" s="8" t="s">
        <v>261</v>
      </c>
      <c r="B41" s="8" t="s">
        <v>25</v>
      </c>
      <c r="C41" s="8" t="s">
        <v>256</v>
      </c>
      <c r="D41" s="8" t="s">
        <v>262</v>
      </c>
      <c r="E41" s="8" t="s">
        <v>237</v>
      </c>
      <c r="F41" s="8" t="s">
        <v>263</v>
      </c>
      <c r="G41" s="8" t="s">
        <v>264</v>
      </c>
      <c r="H41" s="8" t="s">
        <v>265</v>
      </c>
      <c r="I41" s="8" t="s">
        <v>68</v>
      </c>
      <c r="J41" s="8" t="s">
        <v>36</v>
      </c>
      <c r="K41" s="8" t="s">
        <v>17</v>
      </c>
      <c r="L41" s="8" t="s">
        <v>18</v>
      </c>
      <c r="M41" s="8" t="s">
        <v>66</v>
      </c>
      <c r="N41" s="8" t="s">
        <v>217</v>
      </c>
    </row>
    <row r="42" spans="1:14" x14ac:dyDescent="0.25">
      <c r="A42" s="8" t="s">
        <v>266</v>
      </c>
      <c r="B42" s="8" t="s">
        <v>25</v>
      </c>
      <c r="C42" s="8" t="s">
        <v>267</v>
      </c>
      <c r="D42" s="8" t="s">
        <v>268</v>
      </c>
      <c r="E42" s="8" t="s">
        <v>237</v>
      </c>
      <c r="F42" s="8" t="s">
        <v>269</v>
      </c>
      <c r="G42" s="8" t="s">
        <v>270</v>
      </c>
      <c r="H42" s="8" t="s">
        <v>271</v>
      </c>
      <c r="I42" s="8" t="s">
        <v>68</v>
      </c>
      <c r="J42" s="8" t="s">
        <v>36</v>
      </c>
      <c r="K42" s="8" t="s">
        <v>41</v>
      </c>
      <c r="L42" s="8" t="s">
        <v>18</v>
      </c>
      <c r="M42" s="8" t="s">
        <v>66</v>
      </c>
      <c r="N42" s="8" t="s">
        <v>217</v>
      </c>
    </row>
    <row r="43" spans="1:14" x14ac:dyDescent="0.25">
      <c r="A43" s="8" t="s">
        <v>272</v>
      </c>
      <c r="B43" s="8" t="s">
        <v>26</v>
      </c>
      <c r="C43" s="8" t="s">
        <v>188</v>
      </c>
      <c r="D43" s="8" t="s">
        <v>273</v>
      </c>
      <c r="E43" s="8" t="s">
        <v>237</v>
      </c>
      <c r="F43" s="8" t="s">
        <v>274</v>
      </c>
      <c r="G43" s="8" t="s">
        <v>66</v>
      </c>
      <c r="H43" s="8" t="s">
        <v>275</v>
      </c>
      <c r="I43" s="8" t="s">
        <v>68</v>
      </c>
      <c r="J43" s="8" t="s">
        <v>37</v>
      </c>
      <c r="K43" s="8" t="s">
        <v>17</v>
      </c>
      <c r="L43" s="8" t="s">
        <v>18</v>
      </c>
      <c r="M43" s="8" t="s">
        <v>66</v>
      </c>
      <c r="N43" s="8" t="s">
        <v>217</v>
      </c>
    </row>
    <row r="44" spans="1:14" x14ac:dyDescent="0.25">
      <c r="A44" s="8" t="s">
        <v>276</v>
      </c>
      <c r="B44" s="8" t="s">
        <v>27</v>
      </c>
      <c r="C44" s="8" t="s">
        <v>277</v>
      </c>
      <c r="D44" s="8" t="s">
        <v>278</v>
      </c>
      <c r="E44" s="8" t="s">
        <v>237</v>
      </c>
      <c r="F44" s="8" t="s">
        <v>279</v>
      </c>
      <c r="G44" s="8" t="s">
        <v>66</v>
      </c>
      <c r="H44" s="8" t="s">
        <v>280</v>
      </c>
      <c r="I44" s="8" t="s">
        <v>281</v>
      </c>
      <c r="J44" s="8" t="s">
        <v>35</v>
      </c>
      <c r="K44" s="8" t="s">
        <v>41</v>
      </c>
      <c r="L44" s="8" t="s">
        <v>19</v>
      </c>
      <c r="M44" s="8" t="s">
        <v>66</v>
      </c>
      <c r="N44" s="8" t="s">
        <v>217</v>
      </c>
    </row>
    <row r="45" spans="1:14" x14ac:dyDescent="0.25">
      <c r="A45" s="8" t="s">
        <v>282</v>
      </c>
      <c r="B45" s="8" t="s">
        <v>27</v>
      </c>
      <c r="C45" s="8" t="s">
        <v>277</v>
      </c>
      <c r="D45" s="8" t="s">
        <v>283</v>
      </c>
      <c r="E45" s="8" t="s">
        <v>237</v>
      </c>
      <c r="F45" s="8" t="s">
        <v>284</v>
      </c>
      <c r="G45" s="8" t="s">
        <v>285</v>
      </c>
      <c r="H45" s="8" t="s">
        <v>286</v>
      </c>
      <c r="I45" s="8" t="s">
        <v>68</v>
      </c>
      <c r="J45" s="8" t="s">
        <v>36</v>
      </c>
      <c r="K45" s="8" t="s">
        <v>17</v>
      </c>
      <c r="L45" s="8" t="s">
        <v>18</v>
      </c>
      <c r="M45" s="8" t="s">
        <v>66</v>
      </c>
      <c r="N45" s="8" t="s">
        <v>217</v>
      </c>
    </row>
    <row r="46" spans="1:14" x14ac:dyDescent="0.25">
      <c r="A46" s="8" t="s">
        <v>287</v>
      </c>
      <c r="B46" s="8" t="s">
        <v>27</v>
      </c>
      <c r="C46" s="8" t="s">
        <v>277</v>
      </c>
      <c r="D46" s="8" t="s">
        <v>288</v>
      </c>
      <c r="E46" s="8" t="s">
        <v>289</v>
      </c>
      <c r="F46" s="8" t="s">
        <v>290</v>
      </c>
      <c r="G46" s="8" t="s">
        <v>66</v>
      </c>
      <c r="H46" s="8" t="s">
        <v>291</v>
      </c>
      <c r="I46" s="8" t="s">
        <v>68</v>
      </c>
      <c r="J46" s="8" t="s">
        <v>36</v>
      </c>
      <c r="K46" s="8" t="s">
        <v>17</v>
      </c>
      <c r="L46" s="8" t="s">
        <v>18</v>
      </c>
      <c r="M46" s="8" t="s">
        <v>66</v>
      </c>
      <c r="N46" s="8" t="s">
        <v>217</v>
      </c>
    </row>
    <row r="47" spans="1:14" x14ac:dyDescent="0.25">
      <c r="A47" s="8" t="s">
        <v>292</v>
      </c>
      <c r="B47" s="8" t="s">
        <v>28</v>
      </c>
      <c r="C47" s="8" t="s">
        <v>293</v>
      </c>
      <c r="D47" s="8" t="s">
        <v>294</v>
      </c>
      <c r="E47" s="8" t="s">
        <v>295</v>
      </c>
      <c r="F47" s="8" t="s">
        <v>296</v>
      </c>
      <c r="G47" s="8" t="s">
        <v>297</v>
      </c>
      <c r="H47" s="8" t="s">
        <v>298</v>
      </c>
      <c r="I47" s="8" t="s">
        <v>68</v>
      </c>
      <c r="J47" s="8" t="s">
        <v>36</v>
      </c>
      <c r="K47" s="8" t="s">
        <v>17</v>
      </c>
      <c r="L47" s="8" t="s">
        <v>18</v>
      </c>
      <c r="M47" s="8" t="s">
        <v>66</v>
      </c>
      <c r="N47" s="8" t="s">
        <v>217</v>
      </c>
    </row>
    <row r="48" spans="1:14" x14ac:dyDescent="0.25">
      <c r="A48" s="8" t="s">
        <v>299</v>
      </c>
      <c r="B48" s="8" t="s">
        <v>28</v>
      </c>
      <c r="C48" s="8" t="s">
        <v>300</v>
      </c>
      <c r="D48" s="8" t="s">
        <v>301</v>
      </c>
      <c r="E48" s="8" t="s">
        <v>295</v>
      </c>
      <c r="F48" s="8" t="s">
        <v>302</v>
      </c>
      <c r="G48" s="8" t="s">
        <v>66</v>
      </c>
      <c r="H48" s="8" t="s">
        <v>303</v>
      </c>
      <c r="I48" s="8" t="s">
        <v>68</v>
      </c>
      <c r="J48" s="8" t="s">
        <v>36</v>
      </c>
      <c r="K48" s="8" t="s">
        <v>17</v>
      </c>
      <c r="L48" s="8" t="s">
        <v>18</v>
      </c>
      <c r="M48" s="8" t="s">
        <v>66</v>
      </c>
      <c r="N48" s="8" t="s">
        <v>217</v>
      </c>
    </row>
    <row r="49" spans="1:14" x14ac:dyDescent="0.25">
      <c r="A49" s="8" t="s">
        <v>304</v>
      </c>
      <c r="B49" s="8" t="s">
        <v>28</v>
      </c>
      <c r="C49" s="8" t="s">
        <v>305</v>
      </c>
      <c r="D49" s="8" t="s">
        <v>306</v>
      </c>
      <c r="E49" s="8" t="s">
        <v>295</v>
      </c>
      <c r="F49" s="8" t="s">
        <v>307</v>
      </c>
      <c r="G49" s="8" t="s">
        <v>66</v>
      </c>
      <c r="H49" s="8" t="s">
        <v>308</v>
      </c>
      <c r="I49" s="8" t="s">
        <v>309</v>
      </c>
      <c r="J49" s="8" t="s">
        <v>38</v>
      </c>
      <c r="K49" s="8" t="s">
        <v>17</v>
      </c>
      <c r="L49" s="8" t="s">
        <v>19</v>
      </c>
      <c r="M49" s="8" t="s">
        <v>66</v>
      </c>
      <c r="N49" s="8" t="s">
        <v>217</v>
      </c>
    </row>
    <row r="50" spans="1:14" x14ac:dyDescent="0.25">
      <c r="A50" s="8" t="s">
        <v>310</v>
      </c>
      <c r="B50" s="8" t="s">
        <v>28</v>
      </c>
      <c r="C50" s="8" t="s">
        <v>311</v>
      </c>
      <c r="D50" s="8" t="s">
        <v>312</v>
      </c>
      <c r="E50" s="8" t="s">
        <v>295</v>
      </c>
      <c r="F50" s="8" t="s">
        <v>313</v>
      </c>
      <c r="G50" s="8" t="s">
        <v>66</v>
      </c>
      <c r="H50" s="8" t="s">
        <v>314</v>
      </c>
      <c r="I50" s="8" t="s">
        <v>315</v>
      </c>
      <c r="J50" s="8" t="s">
        <v>36</v>
      </c>
      <c r="K50" s="8" t="s">
        <v>41</v>
      </c>
      <c r="L50" s="8" t="s">
        <v>19</v>
      </c>
      <c r="M50" s="8" t="s">
        <v>66</v>
      </c>
      <c r="N50" s="8" t="s">
        <v>217</v>
      </c>
    </row>
    <row r="51" spans="1:14" x14ac:dyDescent="0.25">
      <c r="A51" s="8" t="s">
        <v>316</v>
      </c>
      <c r="B51" s="8" t="s">
        <v>26</v>
      </c>
      <c r="C51" s="8" t="s">
        <v>317</v>
      </c>
      <c r="D51" s="8" t="s">
        <v>318</v>
      </c>
      <c r="E51" s="8" t="s">
        <v>295</v>
      </c>
      <c r="F51" s="8" t="s">
        <v>319</v>
      </c>
      <c r="G51" s="8" t="s">
        <v>320</v>
      </c>
      <c r="H51" s="8" t="s">
        <v>321</v>
      </c>
      <c r="I51" s="8" t="s">
        <v>68</v>
      </c>
      <c r="J51" s="8" t="s">
        <v>36</v>
      </c>
      <c r="K51" s="8" t="s">
        <v>17</v>
      </c>
      <c r="L51" s="8" t="s">
        <v>18</v>
      </c>
      <c r="M51" s="8" t="s">
        <v>66</v>
      </c>
      <c r="N51" s="8" t="s">
        <v>217</v>
      </c>
    </row>
    <row r="52" spans="1:14" x14ac:dyDescent="0.25">
      <c r="A52" s="8" t="s">
        <v>322</v>
      </c>
      <c r="B52" s="8" t="s">
        <v>26</v>
      </c>
      <c r="C52" s="8" t="s">
        <v>143</v>
      </c>
      <c r="D52" s="8" t="s">
        <v>323</v>
      </c>
      <c r="E52" s="8" t="s">
        <v>324</v>
      </c>
      <c r="F52" s="8" t="s">
        <v>325</v>
      </c>
      <c r="G52" s="8" t="s">
        <v>66</v>
      </c>
      <c r="H52" s="8" t="s">
        <v>326</v>
      </c>
      <c r="I52" s="8" t="s">
        <v>327</v>
      </c>
      <c r="J52" s="8" t="s">
        <v>36</v>
      </c>
      <c r="K52" s="8" t="s">
        <v>17</v>
      </c>
      <c r="L52" s="8" t="s">
        <v>19</v>
      </c>
      <c r="M52" s="8" t="s">
        <v>66</v>
      </c>
      <c r="N52" s="8" t="s">
        <v>217</v>
      </c>
    </row>
    <row r="53" spans="1:14" x14ac:dyDescent="0.25">
      <c r="A53" s="8" t="s">
        <v>328</v>
      </c>
      <c r="B53" s="8" t="s">
        <v>26</v>
      </c>
      <c r="C53" s="8" t="s">
        <v>329</v>
      </c>
      <c r="D53" s="8" t="s">
        <v>330</v>
      </c>
      <c r="E53" s="8" t="s">
        <v>324</v>
      </c>
      <c r="F53" s="8" t="s">
        <v>331</v>
      </c>
      <c r="G53" s="8" t="s">
        <v>66</v>
      </c>
      <c r="H53" s="8" t="s">
        <v>332</v>
      </c>
      <c r="I53" s="8" t="s">
        <v>68</v>
      </c>
      <c r="J53" s="8" t="s">
        <v>39</v>
      </c>
      <c r="K53" s="8" t="s">
        <v>17</v>
      </c>
      <c r="L53" s="8" t="s">
        <v>18</v>
      </c>
      <c r="M53" s="8" t="s">
        <v>66</v>
      </c>
      <c r="N53" s="8" t="s">
        <v>217</v>
      </c>
    </row>
    <row r="54" spans="1:14" x14ac:dyDescent="0.25">
      <c r="A54" s="8" t="s">
        <v>333</v>
      </c>
      <c r="B54" s="8" t="s">
        <v>29</v>
      </c>
      <c r="C54" s="8" t="s">
        <v>329</v>
      </c>
      <c r="D54" s="8" t="s">
        <v>334</v>
      </c>
      <c r="E54" s="8" t="s">
        <v>335</v>
      </c>
      <c r="F54" s="8" t="s">
        <v>336</v>
      </c>
      <c r="G54" s="8" t="s">
        <v>337</v>
      </c>
      <c r="H54" s="8" t="s">
        <v>338</v>
      </c>
      <c r="I54" s="8" t="s">
        <v>68</v>
      </c>
      <c r="J54" s="8" t="s">
        <v>39</v>
      </c>
      <c r="K54" s="8" t="s">
        <v>17</v>
      </c>
      <c r="L54" s="8" t="s">
        <v>18</v>
      </c>
      <c r="M54" s="8" t="s">
        <v>66</v>
      </c>
      <c r="N54" s="8" t="s">
        <v>339</v>
      </c>
    </row>
    <row r="55" spans="1:14" x14ac:dyDescent="0.25">
      <c r="A55" s="8" t="s">
        <v>340</v>
      </c>
      <c r="B55" s="8" t="s">
        <v>29</v>
      </c>
      <c r="C55" s="8" t="s">
        <v>34</v>
      </c>
      <c r="D55" s="8" t="s">
        <v>341</v>
      </c>
      <c r="E55" s="8" t="s">
        <v>342</v>
      </c>
      <c r="F55" s="8" t="s">
        <v>343</v>
      </c>
      <c r="G55" s="8" t="s">
        <v>66</v>
      </c>
      <c r="H55" s="8" t="s">
        <v>344</v>
      </c>
      <c r="I55" s="8" t="s">
        <v>68</v>
      </c>
      <c r="J55" s="8" t="s">
        <v>39</v>
      </c>
      <c r="K55" s="8" t="s">
        <v>17</v>
      </c>
      <c r="L55" s="8" t="s">
        <v>18</v>
      </c>
      <c r="M55" s="8" t="s">
        <v>66</v>
      </c>
      <c r="N55" s="8" t="s">
        <v>339</v>
      </c>
    </row>
    <row r="56" spans="1:14" x14ac:dyDescent="0.25">
      <c r="A56" s="8" t="s">
        <v>345</v>
      </c>
      <c r="B56" s="8" t="s">
        <v>29</v>
      </c>
      <c r="C56" s="8" t="s">
        <v>346</v>
      </c>
      <c r="D56" s="8" t="s">
        <v>347</v>
      </c>
      <c r="E56" s="8" t="s">
        <v>348</v>
      </c>
      <c r="F56" s="8" t="s">
        <v>349</v>
      </c>
      <c r="G56" s="8" t="s">
        <v>350</v>
      </c>
      <c r="H56" s="8" t="s">
        <v>351</v>
      </c>
      <c r="I56" s="8" t="s">
        <v>352</v>
      </c>
      <c r="J56" s="8" t="s">
        <v>39</v>
      </c>
      <c r="K56" s="8" t="s">
        <v>17</v>
      </c>
      <c r="L56" s="8" t="s">
        <v>45</v>
      </c>
      <c r="M56" s="8" t="s">
        <v>66</v>
      </c>
      <c r="N56" s="8" t="s">
        <v>353</v>
      </c>
    </row>
    <row r="57" spans="1:14" x14ac:dyDescent="0.25">
      <c r="A57" s="8" t="s">
        <v>354</v>
      </c>
      <c r="B57" s="8" t="s">
        <v>26</v>
      </c>
      <c r="C57" s="8" t="s">
        <v>241</v>
      </c>
      <c r="D57" s="8" t="s">
        <v>355</v>
      </c>
      <c r="E57" s="8" t="s">
        <v>356</v>
      </c>
      <c r="F57" s="8" t="s">
        <v>357</v>
      </c>
      <c r="G57" s="8" t="s">
        <v>66</v>
      </c>
      <c r="H57" s="8" t="s">
        <v>358</v>
      </c>
      <c r="I57" s="8" t="s">
        <v>359</v>
      </c>
      <c r="J57" s="8" t="s">
        <v>36</v>
      </c>
      <c r="K57" s="8" t="s">
        <v>41</v>
      </c>
      <c r="L57" s="8" t="s">
        <v>45</v>
      </c>
      <c r="M57" s="8" t="s">
        <v>66</v>
      </c>
      <c r="N57" s="8" t="s">
        <v>360</v>
      </c>
    </row>
    <row r="58" spans="1:14" x14ac:dyDescent="0.25">
      <c r="A58" s="8" t="s">
        <v>361</v>
      </c>
      <c r="B58" s="8" t="s">
        <v>28</v>
      </c>
      <c r="C58" s="8" t="s">
        <v>362</v>
      </c>
      <c r="D58" s="8" t="s">
        <v>363</v>
      </c>
      <c r="E58" s="8" t="s">
        <v>364</v>
      </c>
      <c r="F58" s="8" t="s">
        <v>365</v>
      </c>
      <c r="G58" s="8" t="s">
        <v>66</v>
      </c>
      <c r="H58" s="8" t="s">
        <v>366</v>
      </c>
      <c r="I58" s="8" t="s">
        <v>367</v>
      </c>
      <c r="J58" s="8" t="s">
        <v>34</v>
      </c>
      <c r="K58" s="8" t="s">
        <v>41</v>
      </c>
      <c r="L58" s="8" t="s">
        <v>45</v>
      </c>
      <c r="M58" s="8" t="s">
        <v>66</v>
      </c>
      <c r="N58" s="8" t="s">
        <v>360</v>
      </c>
    </row>
    <row r="59" spans="1:14" x14ac:dyDescent="0.25">
      <c r="A59" s="8" t="s">
        <v>368</v>
      </c>
      <c r="B59" s="8" t="s">
        <v>28</v>
      </c>
      <c r="C59" s="8" t="s">
        <v>300</v>
      </c>
      <c r="D59" s="8" t="s">
        <v>369</v>
      </c>
      <c r="E59" s="8" t="s">
        <v>370</v>
      </c>
      <c r="F59" s="8" t="s">
        <v>371</v>
      </c>
      <c r="G59" s="8" t="s">
        <v>66</v>
      </c>
      <c r="H59" s="8" t="s">
        <v>372</v>
      </c>
      <c r="I59" s="8" t="s">
        <v>373</v>
      </c>
      <c r="J59" s="8" t="s">
        <v>36</v>
      </c>
      <c r="K59" s="8" t="s">
        <v>42</v>
      </c>
      <c r="L59" s="8" t="s">
        <v>45</v>
      </c>
      <c r="M59" s="8" t="s">
        <v>66</v>
      </c>
      <c r="N59" s="8" t="s">
        <v>360</v>
      </c>
    </row>
    <row r="60" spans="1:14" x14ac:dyDescent="0.25">
      <c r="A60" s="8" t="s">
        <v>374</v>
      </c>
      <c r="B60" s="8" t="s">
        <v>30</v>
      </c>
      <c r="C60" s="8" t="s">
        <v>30</v>
      </c>
      <c r="D60" s="8" t="s">
        <v>375</v>
      </c>
      <c r="E60" s="8" t="s">
        <v>64</v>
      </c>
      <c r="F60" s="8" t="s">
        <v>376</v>
      </c>
      <c r="G60" s="8" t="s">
        <v>66</v>
      </c>
      <c r="H60" s="8" t="s">
        <v>377</v>
      </c>
      <c r="I60" s="8" t="s">
        <v>68</v>
      </c>
      <c r="J60" s="8" t="s">
        <v>36</v>
      </c>
      <c r="K60" s="8" t="s">
        <v>17</v>
      </c>
      <c r="L60" s="8" t="s">
        <v>18</v>
      </c>
      <c r="M60" s="8" t="s">
        <v>66</v>
      </c>
      <c r="N60" s="8" t="s">
        <v>378</v>
      </c>
    </row>
    <row r="61" spans="1:14" x14ac:dyDescent="0.25">
      <c r="A61" s="8" t="s">
        <v>379</v>
      </c>
      <c r="B61" s="8" t="s">
        <v>30</v>
      </c>
      <c r="C61" s="8" t="s">
        <v>30</v>
      </c>
      <c r="D61" s="8" t="s">
        <v>380</v>
      </c>
      <c r="E61" s="8" t="s">
        <v>64</v>
      </c>
      <c r="F61" s="8" t="s">
        <v>381</v>
      </c>
      <c r="G61" s="8" t="s">
        <v>382</v>
      </c>
      <c r="H61" s="8" t="s">
        <v>383</v>
      </c>
      <c r="I61" s="8" t="s">
        <v>68</v>
      </c>
      <c r="J61" s="8" t="s">
        <v>38</v>
      </c>
      <c r="K61" s="8" t="s">
        <v>17</v>
      </c>
      <c r="L61" s="8" t="s">
        <v>18</v>
      </c>
      <c r="M61" s="8" t="s">
        <v>66</v>
      </c>
      <c r="N61" s="8" t="s">
        <v>378</v>
      </c>
    </row>
    <row r="62" spans="1:14" x14ac:dyDescent="0.25">
      <c r="A62" s="8" t="s">
        <v>384</v>
      </c>
      <c r="B62" s="8" t="s">
        <v>30</v>
      </c>
      <c r="C62" s="8" t="s">
        <v>30</v>
      </c>
      <c r="D62" s="8" t="s">
        <v>385</v>
      </c>
      <c r="E62" s="8" t="s">
        <v>64</v>
      </c>
      <c r="F62" s="8" t="s">
        <v>386</v>
      </c>
      <c r="G62" s="8" t="s">
        <v>387</v>
      </c>
      <c r="H62" s="8" t="s">
        <v>388</v>
      </c>
      <c r="I62" s="8" t="s">
        <v>68</v>
      </c>
      <c r="J62" s="8" t="s">
        <v>36</v>
      </c>
      <c r="K62" s="8" t="s">
        <v>17</v>
      </c>
      <c r="L62" s="8" t="s">
        <v>18</v>
      </c>
      <c r="M62" s="8" t="s">
        <v>66</v>
      </c>
      <c r="N62" s="8" t="s">
        <v>378</v>
      </c>
    </row>
    <row r="63" spans="1:14" x14ac:dyDescent="0.25">
      <c r="A63" s="8" t="s">
        <v>389</v>
      </c>
      <c r="B63" s="8" t="s">
        <v>30</v>
      </c>
      <c r="C63" s="8" t="s">
        <v>30</v>
      </c>
      <c r="D63" s="8" t="s">
        <v>390</v>
      </c>
      <c r="E63" s="8" t="s">
        <v>64</v>
      </c>
      <c r="F63" s="8" t="s">
        <v>391</v>
      </c>
      <c r="G63" s="8" t="s">
        <v>66</v>
      </c>
      <c r="H63" s="8" t="s">
        <v>392</v>
      </c>
      <c r="I63" s="8" t="s">
        <v>393</v>
      </c>
      <c r="J63" s="8" t="s">
        <v>36</v>
      </c>
      <c r="K63" s="8" t="s">
        <v>17</v>
      </c>
      <c r="L63" s="8" t="s">
        <v>19</v>
      </c>
      <c r="M63" s="8" t="s">
        <v>66</v>
      </c>
      <c r="N63" s="8" t="s">
        <v>378</v>
      </c>
    </row>
    <row r="64" spans="1:14" x14ac:dyDescent="0.25">
      <c r="A64" s="8" t="s">
        <v>394</v>
      </c>
      <c r="B64" s="8" t="s">
        <v>30</v>
      </c>
      <c r="C64" s="8" t="s">
        <v>30</v>
      </c>
      <c r="D64" s="8" t="s">
        <v>395</v>
      </c>
      <c r="E64" s="8" t="s">
        <v>64</v>
      </c>
      <c r="F64" s="8" t="s">
        <v>396</v>
      </c>
      <c r="G64" s="8" t="s">
        <v>116</v>
      </c>
      <c r="H64" s="8" t="s">
        <v>397</v>
      </c>
      <c r="I64" s="8" t="s">
        <v>68</v>
      </c>
      <c r="J64" s="8" t="s">
        <v>37</v>
      </c>
      <c r="K64" s="8" t="s">
        <v>41</v>
      </c>
      <c r="L64" s="8" t="s">
        <v>18</v>
      </c>
      <c r="M64" s="8" t="s">
        <v>66</v>
      </c>
      <c r="N64" s="8" t="s">
        <v>378</v>
      </c>
    </row>
    <row r="65" spans="1:14" x14ac:dyDescent="0.25">
      <c r="A65" s="8" t="s">
        <v>398</v>
      </c>
      <c r="B65" s="8" t="s">
        <v>31</v>
      </c>
      <c r="C65" s="8" t="s">
        <v>182</v>
      </c>
      <c r="D65" s="8" t="s">
        <v>399</v>
      </c>
      <c r="E65" s="8" t="s">
        <v>64</v>
      </c>
      <c r="F65" s="8" t="s">
        <v>400</v>
      </c>
      <c r="G65" s="8" t="s">
        <v>66</v>
      </c>
      <c r="H65" s="8" t="s">
        <v>401</v>
      </c>
      <c r="I65" s="8" t="s">
        <v>68</v>
      </c>
      <c r="J65" s="8" t="s">
        <v>35</v>
      </c>
      <c r="K65" s="8" t="s">
        <v>41</v>
      </c>
      <c r="L65" s="8" t="s">
        <v>18</v>
      </c>
      <c r="M65" s="8" t="s">
        <v>66</v>
      </c>
      <c r="N65" s="8" t="s">
        <v>186</v>
      </c>
    </row>
    <row r="66" spans="1:14" x14ac:dyDescent="0.25">
      <c r="A66" s="8" t="s">
        <v>402</v>
      </c>
      <c r="B66" s="8" t="s">
        <v>31</v>
      </c>
      <c r="C66" s="8" t="s">
        <v>188</v>
      </c>
      <c r="D66" s="8" t="s">
        <v>403</v>
      </c>
      <c r="E66" s="8" t="s">
        <v>64</v>
      </c>
      <c r="F66" s="8" t="s">
        <v>404</v>
      </c>
      <c r="G66" s="8" t="s">
        <v>405</v>
      </c>
      <c r="H66" s="8" t="s">
        <v>191</v>
      </c>
      <c r="I66" s="8" t="s">
        <v>68</v>
      </c>
      <c r="J66" s="8" t="s">
        <v>37</v>
      </c>
      <c r="K66" s="8" t="s">
        <v>17</v>
      </c>
      <c r="L66" s="8" t="s">
        <v>18</v>
      </c>
      <c r="M66" s="8" t="s">
        <v>66</v>
      </c>
      <c r="N66" s="8" t="s">
        <v>186</v>
      </c>
    </row>
    <row r="67" spans="1:14" x14ac:dyDescent="0.25">
      <c r="A67" s="8" t="s">
        <v>406</v>
      </c>
      <c r="B67" s="8" t="s">
        <v>31</v>
      </c>
      <c r="C67" s="8" t="s">
        <v>188</v>
      </c>
      <c r="D67" s="8" t="s">
        <v>407</v>
      </c>
      <c r="E67" s="8" t="s">
        <v>408</v>
      </c>
      <c r="F67" s="8" t="s">
        <v>409</v>
      </c>
      <c r="G67" s="8" t="s">
        <v>410</v>
      </c>
      <c r="H67" s="8" t="s">
        <v>411</v>
      </c>
      <c r="I67" s="8" t="s">
        <v>412</v>
      </c>
      <c r="J67" s="8" t="s">
        <v>37</v>
      </c>
      <c r="K67" s="8" t="s">
        <v>17</v>
      </c>
      <c r="L67" s="8" t="s">
        <v>18</v>
      </c>
      <c r="M67" s="8" t="s">
        <v>66</v>
      </c>
      <c r="N67" s="8" t="s">
        <v>217</v>
      </c>
    </row>
    <row r="68" spans="1:14" x14ac:dyDescent="0.25">
      <c r="A68" s="8" t="s">
        <v>413</v>
      </c>
      <c r="B68" s="8" t="s">
        <v>31</v>
      </c>
      <c r="C68" s="8" t="s">
        <v>188</v>
      </c>
      <c r="D68" s="8" t="s">
        <v>414</v>
      </c>
      <c r="E68" s="8" t="s">
        <v>408</v>
      </c>
      <c r="F68" s="8" t="s">
        <v>415</v>
      </c>
      <c r="G68" s="8" t="s">
        <v>416</v>
      </c>
      <c r="H68" s="8" t="s">
        <v>417</v>
      </c>
      <c r="I68" s="8" t="s">
        <v>418</v>
      </c>
      <c r="J68" s="8" t="s">
        <v>37</v>
      </c>
      <c r="K68" s="8" t="s">
        <v>17</v>
      </c>
      <c r="L68" s="8" t="s">
        <v>19</v>
      </c>
      <c r="M68" s="8" t="s">
        <v>66</v>
      </c>
      <c r="N68" s="8" t="s">
        <v>217</v>
      </c>
    </row>
    <row r="69" spans="1:14" x14ac:dyDescent="0.25">
      <c r="A69" s="8" t="s">
        <v>419</v>
      </c>
      <c r="B69" s="8" t="s">
        <v>31</v>
      </c>
      <c r="C69" s="8" t="s">
        <v>188</v>
      </c>
      <c r="D69" s="8" t="s">
        <v>420</v>
      </c>
      <c r="E69" s="8" t="s">
        <v>408</v>
      </c>
      <c r="F69" s="8" t="s">
        <v>421</v>
      </c>
      <c r="G69" s="8" t="s">
        <v>422</v>
      </c>
      <c r="H69" s="8" t="s">
        <v>423</v>
      </c>
      <c r="I69" s="8" t="s">
        <v>424</v>
      </c>
      <c r="J69" s="8" t="s">
        <v>37</v>
      </c>
      <c r="K69" s="8" t="s">
        <v>17</v>
      </c>
      <c r="L69" s="8" t="s">
        <v>19</v>
      </c>
      <c r="M69" s="8" t="s">
        <v>66</v>
      </c>
      <c r="N69" s="8" t="s">
        <v>217</v>
      </c>
    </row>
    <row r="70" spans="1:14" x14ac:dyDescent="0.25">
      <c r="A70" s="8" t="s">
        <v>425</v>
      </c>
      <c r="B70" s="8" t="s">
        <v>31</v>
      </c>
      <c r="C70" s="8" t="s">
        <v>182</v>
      </c>
      <c r="D70" s="8" t="s">
        <v>426</v>
      </c>
      <c r="E70" s="8" t="s">
        <v>408</v>
      </c>
      <c r="F70" s="8" t="s">
        <v>427</v>
      </c>
      <c r="G70" s="8" t="s">
        <v>428</v>
      </c>
      <c r="H70" s="8" t="s">
        <v>429</v>
      </c>
      <c r="I70" s="8" t="s">
        <v>68</v>
      </c>
      <c r="J70" s="8" t="s">
        <v>36</v>
      </c>
      <c r="K70" s="8" t="s">
        <v>17</v>
      </c>
      <c r="L70" s="8" t="s">
        <v>18</v>
      </c>
      <c r="M70" s="8" t="s">
        <v>66</v>
      </c>
      <c r="N70" s="8" t="s">
        <v>217</v>
      </c>
    </row>
  </sheetData>
  <autoFilter ref="A1:N1"/>
  <conditionalFormatting sqref="L2:L70">
    <cfRule type="containsText" dxfId="0" priority="1">
      <formula>NOT(ISERROR(SEARCH("Pass",L2)))</formula>
    </cfRule>
    <cfRule type="containsText" dxfId="1" priority="2">
      <formula>NOT(ISERROR(SEARCH("Fail",L2)))</formula>
    </cfRule>
    <cfRule type="containsText" dxfId="2" priority="3">
      <formula>NOT(ISERROR(SEARCH("Blocked",L2)))</formula>
    </cfRule>
  </conditionalFormatting>
  <dataValidations count="2">
    <dataValidation type="list" allowBlank="1" sqref="L10:L70">
      <formula1>"Not Started,Pass,Fail,Blocked,Not Applicable"</formula1>
    </dataValidation>
    <dataValidation type="list" allowBlank="1" sqref="L2:L70">
      <formula1>"Not Started,Pass,Fail,Blocked,Not Applicable"</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6" customWidth="1"/>
    <col min="3" max="3" width="60" customWidth="1"/>
    <col min="4" max="4" width="50" customWidth="1"/>
    <col min="5" max="5" width="12" customWidth="1"/>
    <col min="6" max="6" width="16" customWidth="1"/>
  </cols>
  <sheetData>
    <row r="1" ht="30" customHeight="1" spans="1:6" x14ac:dyDescent="0.25">
      <c r="A1" s="7" t="s">
        <v>430</v>
      </c>
      <c r="B1" s="7" t="s">
        <v>49</v>
      </c>
      <c r="C1" s="7" t="s">
        <v>431</v>
      </c>
      <c r="D1" s="7" t="s">
        <v>432</v>
      </c>
      <c r="E1" s="7" t="s">
        <v>433</v>
      </c>
      <c r="F1" s="7" t="s">
        <v>434</v>
      </c>
    </row>
    <row r="2" spans="1:6" x14ac:dyDescent="0.25">
      <c r="A2" s="8" t="s">
        <v>435</v>
      </c>
      <c r="B2" s="8" t="s">
        <v>76</v>
      </c>
      <c r="C2" s="8" t="s">
        <v>436</v>
      </c>
      <c r="D2" s="8" t="s">
        <v>437</v>
      </c>
      <c r="E2" s="8" t="s">
        <v>41</v>
      </c>
      <c r="F2" s="8" t="s">
        <v>80</v>
      </c>
    </row>
    <row r="3" spans="1:6" x14ac:dyDescent="0.25">
      <c r="A3" s="8" t="s">
        <v>438</v>
      </c>
      <c r="B3" s="8" t="s">
        <v>24</v>
      </c>
      <c r="C3" s="8" t="s">
        <v>439</v>
      </c>
      <c r="D3" s="8" t="s">
        <v>440</v>
      </c>
      <c r="E3" s="8" t="s">
        <v>17</v>
      </c>
      <c r="F3" s="8" t="s">
        <v>441</v>
      </c>
    </row>
    <row r="4" spans="1:6" x14ac:dyDescent="0.25">
      <c r="A4" s="8" t="s">
        <v>442</v>
      </c>
      <c r="B4" s="8" t="s">
        <v>129</v>
      </c>
      <c r="C4" s="8" t="s">
        <v>443</v>
      </c>
      <c r="D4" s="8" t="s">
        <v>444</v>
      </c>
      <c r="E4" s="8" t="s">
        <v>41</v>
      </c>
      <c r="F4" s="8" t="s">
        <v>128</v>
      </c>
    </row>
    <row r="5" spans="1:6" x14ac:dyDescent="0.25">
      <c r="A5" s="8" t="s">
        <v>445</v>
      </c>
      <c r="B5" s="8" t="s">
        <v>305</v>
      </c>
      <c r="C5" s="8" t="s">
        <v>446</v>
      </c>
      <c r="D5" s="8" t="s">
        <v>447</v>
      </c>
      <c r="E5" s="8" t="s">
        <v>17</v>
      </c>
      <c r="F5" s="8" t="s">
        <v>304</v>
      </c>
    </row>
    <row r="6" spans="1:6" x14ac:dyDescent="0.25">
      <c r="A6" s="8" t="s">
        <v>448</v>
      </c>
      <c r="B6" s="8" t="s">
        <v>311</v>
      </c>
      <c r="C6" s="8" t="s">
        <v>449</v>
      </c>
      <c r="D6" s="8" t="s">
        <v>450</v>
      </c>
      <c r="E6" s="8" t="s">
        <v>41</v>
      </c>
      <c r="F6" s="8" t="s">
        <v>310</v>
      </c>
    </row>
    <row r="7" spans="1:6" x14ac:dyDescent="0.25">
      <c r="A7" s="8" t="s">
        <v>451</v>
      </c>
      <c r="B7" s="8" t="s">
        <v>26</v>
      </c>
      <c r="C7" s="8" t="s">
        <v>452</v>
      </c>
      <c r="D7" s="8" t="s">
        <v>453</v>
      </c>
      <c r="E7" s="8" t="s">
        <v>17</v>
      </c>
      <c r="F7" s="8" t="s">
        <v>322</v>
      </c>
    </row>
    <row r="8" spans="1:6" x14ac:dyDescent="0.25">
      <c r="A8" s="8" t="s">
        <v>454</v>
      </c>
      <c r="B8" s="8" t="s">
        <v>27</v>
      </c>
      <c r="C8" s="8" t="s">
        <v>455</v>
      </c>
      <c r="D8" s="8" t="s">
        <v>456</v>
      </c>
      <c r="E8" s="8" t="s">
        <v>41</v>
      </c>
      <c r="F8" s="8" t="s">
        <v>276</v>
      </c>
    </row>
    <row r="9" spans="1:6" x14ac:dyDescent="0.25">
      <c r="A9" s="8" t="s">
        <v>457</v>
      </c>
      <c r="B9" s="8" t="s">
        <v>22</v>
      </c>
      <c r="C9" s="8" t="s">
        <v>458</v>
      </c>
      <c r="D9" s="8" t="s">
        <v>459</v>
      </c>
      <c r="E9" s="8" t="s">
        <v>41</v>
      </c>
      <c r="F9" s="8" t="s">
        <v>175</v>
      </c>
    </row>
    <row r="10" spans="1:6" x14ac:dyDescent="0.25">
      <c r="A10" s="8" t="s">
        <v>460</v>
      </c>
      <c r="B10" s="8" t="s">
        <v>60</v>
      </c>
      <c r="C10" s="8" t="s">
        <v>461</v>
      </c>
      <c r="D10" s="8" t="s">
        <v>462</v>
      </c>
      <c r="E10" s="8" t="s">
        <v>42</v>
      </c>
      <c r="F10" s="8" t="s">
        <v>463</v>
      </c>
    </row>
    <row r="11" spans="1:6" x14ac:dyDescent="0.25">
      <c r="A11" s="8" t="s">
        <v>464</v>
      </c>
      <c r="B11" s="8" t="s">
        <v>203</v>
      </c>
      <c r="C11" s="8" t="s">
        <v>465</v>
      </c>
      <c r="D11" s="8" t="s">
        <v>466</v>
      </c>
      <c r="E11" s="8" t="s">
        <v>42</v>
      </c>
      <c r="F11" s="8" t="s">
        <v>202</v>
      </c>
    </row>
    <row r="12" spans="1:6" x14ac:dyDescent="0.25">
      <c r="A12" s="8" t="s">
        <v>467</v>
      </c>
      <c r="B12" s="8" t="s">
        <v>30</v>
      </c>
      <c r="C12" s="8" t="s">
        <v>468</v>
      </c>
      <c r="D12" s="8" t="s">
        <v>469</v>
      </c>
      <c r="E12" s="8" t="s">
        <v>41</v>
      </c>
      <c r="F12" s="8" t="s">
        <v>389</v>
      </c>
    </row>
    <row r="13" spans="1:6" x14ac:dyDescent="0.25">
      <c r="A13" s="8" t="s">
        <v>470</v>
      </c>
      <c r="B13" s="8" t="s">
        <v>24</v>
      </c>
      <c r="C13" s="8" t="s">
        <v>471</v>
      </c>
      <c r="D13" s="8" t="s">
        <v>472</v>
      </c>
      <c r="E13" s="8" t="s">
        <v>17</v>
      </c>
      <c r="F13" s="8" t="s">
        <v>419</v>
      </c>
    </row>
    <row r="14" spans="1:6" x14ac:dyDescent="0.25">
      <c r="A14" s="8" t="s">
        <v>473</v>
      </c>
      <c r="B14" s="8" t="s">
        <v>24</v>
      </c>
      <c r="C14" s="8" t="s">
        <v>474</v>
      </c>
      <c r="D14" s="8" t="s">
        <v>475</v>
      </c>
      <c r="E14" s="8" t="s">
        <v>42</v>
      </c>
      <c r="F14" s="8" t="s">
        <v>406</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Test Cases</vt:lpstr>
      <vt:lpstr>Observations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automation</dc:creator>
  <dc:title/>
  <dc:subject/>
  <dc:description/>
  <cp:keywords/>
  <cp:category/>
  <cp:lastModifiedBy>Unknown</cp:lastModifiedBy>
  <dcterms:created xsi:type="dcterms:W3CDTF">2026-10-22T17:05:43Z</dcterms:created>
  <dcterms:modified xsi:type="dcterms:W3CDTF">2026-10-22T17:05:43Z</dcterms:modified>
</cp:coreProperties>
</file>