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Observations" state="visible" r:id="rId6"/>
  </sheets>
  <calcPr calcId="171027" fullCalcOnLoad="1"/>
</workbook>
</file>

<file path=xl/sharedStrings.xml><?xml version="1.0" encoding="utf-8"?>
<sst xmlns="http://schemas.openxmlformats.org/spreadsheetml/2006/main" count="749" uniqueCount="341">
  <si>
    <t>Customers &amp; Brokers — Test Cases</t>
  </si>
  <si>
    <t>Page</t>
  </si>
  <si>
    <t>https://qa-crm.asquareab.com/customers (Customer and Broker Workspace)</t>
  </si>
  <si>
    <t>Build</t>
  </si>
  <si>
    <t>v1.0 1910-49</t>
  </si>
  <si>
    <t>Explored on</t>
  </si>
  <si>
    <t>22/23-Oct-2026 (CRM Administrator, QA data)</t>
  </si>
  <si>
    <t>Scope</t>
  </si>
  <si>
    <t>Workspace cards and tabs; Customer Register (search, sort, paging, export, no manual create); Edit Customer (fields, sections, validation, saving, KYC upload / delete); Broker Register; Create / Edit Broker (validation, portal credentials); access control</t>
  </si>
  <si>
    <t>How to use</t>
  </si>
  <si>
    <t>Fill "Status" (Not Started / Pass / Fail / Blocked / Not Applicable) and "Remarks" on the Test Cases sheet; the counts below update automatically.</t>
  </si>
  <si>
    <t>Automation</t>
  </si>
  <si>
    <t>Every test case is automated in tests/customers-brokers/ ("Automated in" column); test names, steps and expected results come from this sheet. Run: npm run test:customers-brokers. lifecycle.spec.ts changes QA data on every run: it edits one customer's Remarks and puts them back, uploads a KYC PDF and deletes it, edits the test broker and restores it, and creates the test broker only if it does not exist yet (creating a broker also creates a broker portal login).</t>
  </si>
  <si>
    <t>Last run</t>
  </si>
  <si>
    <t>22-Oct-2026 14:15, build v1.0 1910-49 — automated (tests/customers-brokers): 40 passed, 3 failed, 3 skipped (CB-040 only runs when a new broker is created; CB-044 and CB-045 by design). Defect report: reports/CRM_Defect_Report_2026-10-22_1415.xlsx</t>
  </si>
  <si>
    <t>By area</t>
  </si>
  <si>
    <t>Test cases</t>
  </si>
  <si>
    <t>High</t>
  </si>
  <si>
    <t>Pass</t>
  </si>
  <si>
    <t>Fail</t>
  </si>
  <si>
    <t>Workspace</t>
  </si>
  <si>
    <t>Customer register</t>
  </si>
  <si>
    <t>Customer detail</t>
  </si>
  <si>
    <t>Customer edit</t>
  </si>
  <si>
    <t>KYC</t>
  </si>
  <si>
    <t>Broker register</t>
  </si>
  <si>
    <t>Broker form</t>
  </si>
  <si>
    <t>Broker save</t>
  </si>
  <si>
    <t>Access</t>
  </si>
  <si>
    <t>Total</t>
  </si>
  <si>
    <t>By type</t>
  </si>
  <si>
    <t>Navigation</t>
  </si>
  <si>
    <t>UI</t>
  </si>
  <si>
    <t>Functional</t>
  </si>
  <si>
    <t>Negative</t>
  </si>
  <si>
    <t>Data</t>
  </si>
  <si>
    <t>Security</t>
  </si>
  <si>
    <t>By priority</t>
  </si>
  <si>
    <t>Medium</t>
  </si>
  <si>
    <t>Low</t>
  </si>
  <si>
    <t>Execution status</t>
  </si>
  <si>
    <t>Not Started</t>
  </si>
  <si>
    <t>Blocked</t>
  </si>
  <si>
    <t>Not Applicable</t>
  </si>
  <si>
    <t>Observations</t>
  </si>
  <si>
    <t>TC ID</t>
  </si>
  <si>
    <t>Area</t>
  </si>
  <si>
    <t>Component</t>
  </si>
  <si>
    <t>Test Case</t>
  </si>
  <si>
    <t>Preconditions</t>
  </si>
  <si>
    <t>Test Steps</t>
  </si>
  <si>
    <t>Test Data</t>
  </si>
  <si>
    <t>Expected Result</t>
  </si>
  <si>
    <t>Observed (automated run, build v1.0 1910-49)</t>
  </si>
  <si>
    <t>Type</t>
  </si>
  <si>
    <t>Priority</t>
  </si>
  <si>
    <t>Status</t>
  </si>
  <si>
    <t>Remarks</t>
  </si>
  <si>
    <t>Automated in</t>
  </si>
  <si>
    <t>CB-001</t>
  </si>
  <si>
    <t>Customers &amp; Brokers opens from the side menu</t>
  </si>
  <si>
    <t>Logged in as CRM Administrator</t>
  </si>
  <si>
    <t xml:space="preserve">1. Open Home / Dashboard (/)
2. Click "Customers &amp; Brokers" in the main menu</t>
  </si>
  <si>
    <t/>
  </si>
  <si>
    <t>URL is /customers; eyebrow "CUSTOMERS &amp; BROKERS", heading "Customer and Broker Workspace"; the Customers tab is selected</t>
  </si>
  <si>
    <t>As expected</t>
  </si>
  <si>
    <t>tests/customers-brokers/workspace.spec.ts</t>
  </si>
  <si>
    <t>CB-002</t>
  </si>
  <si>
    <t>Cards</t>
  </si>
  <si>
    <t>Cards show loaded values</t>
  </si>
  <si>
    <t xml:space="preserve">1. Open /customers
2. Read Customers, Brokers, Active Customers, Active Brokers</t>
  </si>
  <si>
    <t>Every card shows a number; Active Customers ≤ Customers and Active Brokers ≤ Brokers</t>
  </si>
  <si>
    <t>CB-003</t>
  </si>
  <si>
    <t>Customers and Brokers cards equal their registers</t>
  </si>
  <si>
    <t xml:space="preserve">1. Open /customers; read the pager of the Customer Register
2. Click Brokers; read the Broker Register total</t>
  </si>
  <si>
    <t>Customers card = Customer Register total; Brokers card = Broker Register total</t>
  </si>
  <si>
    <t>CB-004</t>
  </si>
  <si>
    <t>Active cards count the active records</t>
  </si>
  <si>
    <t xml:space="preserve">1. Open /customers; Export the Customer Register
2. Count customers with status Active in the file
3. Count ACTIVE brokers in the Broker Register</t>
  </si>
  <si>
    <t>Active Customers = customers with status Active (not Prospect); Active Brokers = brokers with status ACTIVE</t>
  </si>
  <si>
    <t>CB-005</t>
  </si>
  <si>
    <t>Tabs</t>
  </si>
  <si>
    <t>Tabs switch between the registers</t>
  </si>
  <si>
    <t xml:space="preserve">1. Open /customers
2. Click Brokers, then Customers</t>
  </si>
  <si>
    <t>Brokers shows "Broker Register" with New Broker and the Brokers tab highlighted; Customers shows "Customer Register" again; the URL stays /customers</t>
  </si>
  <si>
    <t>CB-006</t>
  </si>
  <si>
    <t>Register</t>
  </si>
  <si>
    <t>Customer Register loads and shows every column</t>
  </si>
  <si>
    <t xml:space="preserve">1. Open /customers
2. Check the columns and rows
3. Check the console and network log</t>
  </si>
  <si>
    <t>Columns Customer, Contact, Buyer Type, Project, Status, Created Date; each row shows a name with its CUST-… code, phone and email; no JavaScript errors, failed API calls, NaN or undefined</t>
  </si>
  <si>
    <t>tests/customers-brokers/customers.spec.ts</t>
  </si>
  <si>
    <t>CB-007</t>
  </si>
  <si>
    <t>Pagination covers every customer</t>
  </si>
  <si>
    <t xml:space="preserve">1. Open /customers; read "Showing 1–20 of N customers · Page 1 of M"
2. Sort by Created Date oldest first and page to the end</t>
  </si>
  <si>
    <t>N = Customers card; the last page ends at N and Next is disabled; N rows in all, none repeated</t>
  </si>
  <si>
    <t>CB-008</t>
  </si>
  <si>
    <t>Search</t>
  </si>
  <si>
    <t>Search by name, code, phone and email</t>
  </si>
  <si>
    <t xml:space="preserve">1. Open /customers
2. Search the 2nd row's name, then its CUST code, phone (typed without spaces) and email</t>
  </si>
  <si>
    <t>2nd row of the register</t>
  </si>
  <si>
    <t>Each search lists that customer, and every row matches the term</t>
  </si>
  <si>
    <t>As expected when the phone is typed without spaces; with the spaces shown on screen nothing is found (OBS-04)</t>
  </si>
  <si>
    <t>CB-009</t>
  </si>
  <si>
    <t>Search with no match shows an empty register</t>
  </si>
  <si>
    <t xml:space="preserve">1. Open /customers
2. Search a term that matches nothing</t>
  </si>
  <si>
    <t>"zz-no-such-customer-&lt;timestamp&gt;"</t>
  </si>
  <si>
    <t>No rows, an empty-state message, and Export disabled</t>
  </si>
  <si>
    <t>No rows and no message at all — the table is simply empty (OBS-02)</t>
  </si>
  <si>
    <t>CB-010</t>
  </si>
  <si>
    <t>Clearing the search restores the register</t>
  </si>
  <si>
    <t xml:space="preserve">1. Open /customers; note the total
2. Search a customer
3. Click the clear (×) button</t>
  </si>
  <si>
    <t>Name of the first row</t>
  </si>
  <si>
    <t>The box is empty and the total and page 1 are as before</t>
  </si>
  <si>
    <t>CB-011</t>
  </si>
  <si>
    <t>Sort</t>
  </si>
  <si>
    <t>Sort by Customer and Created Date</t>
  </si>
  <si>
    <t xml:space="preserve">1. Open /customers
2. Check the default order
3. Sort Customer ascending, then descending
4. Sort Created Date ascending</t>
  </si>
  <si>
    <t>Default is newest first (Created Date ▼); Customer sorts alphabetically both ways; ascending Created Date gives oldest first</t>
  </si>
  <si>
    <t>CB-012</t>
  </si>
  <si>
    <t>Export</t>
  </si>
  <si>
    <t>Export downloads the Customer Register</t>
  </si>
  <si>
    <t xml:space="preserve">1. Open /customers
2. Click Export
3. Open the file</t>
  </si>
  <si>
    <t>File "customers-&lt;today&gt;.xlsx" with columns Customer Code, ERP Customer ID, Name, Mobile, WhatsApp, Email, City, Nationality, Country, Buyer Type, Funding Source, Preferred Communication, Default Currency, Default Project, Status, Created At, and one row per customer (= Customers card)</t>
  </si>
  <si>
    <t>CB-013</t>
  </si>
  <si>
    <t>Export follows the search</t>
  </si>
  <si>
    <t xml:space="preserve">1. Open /customers
2. Search the 2nd row's name
3. Click Export</t>
  </si>
  <si>
    <t>Name of the 2nd row</t>
  </si>
  <si>
    <t>The file holds exactly the customers listed for the search</t>
  </si>
  <si>
    <t>CB-014</t>
  </si>
  <si>
    <t>Create</t>
  </si>
  <si>
    <t>Customers cannot be created by hand</t>
  </si>
  <si>
    <t xml:space="preserve">1. Open /customers
2. Look at New Customer</t>
  </si>
  <si>
    <t>New Customer is disabled with the tooltip "Customers are created automatically through Lead qualification and conversion. Direct manual customer creation is disabled."</t>
  </si>
  <si>
    <t>CB-015</t>
  </si>
  <si>
    <t>Edit Customer</t>
  </si>
  <si>
    <t>Opening a customer shows its details</t>
  </si>
  <si>
    <t xml:space="preserve">1. Open /customers
2. Click the first CUST code
3. Compare the form with the row and GET /customers/&lt;id&gt;</t>
  </si>
  <si>
    <t>Edit Customer shows the same display name, mobile, email and buyer type as the row and the record; Created and Updated are shown; opening it changes nothing</t>
  </si>
  <si>
    <t>CB-016</t>
  </si>
  <si>
    <t>Customer detail shows every section</t>
  </si>
  <si>
    <t xml:space="preserve">1. Open a customer
2. Scroll through the window</t>
  </si>
  <si>
    <t>Sections All Units, Agreed Packs, Payments &amp; statement, Documents &amp; KYC (with a "KYC: …" status), Communications and History</t>
  </si>
  <si>
    <t>CB-017</t>
  </si>
  <si>
    <t>All Units</t>
  </si>
  <si>
    <t>All Units lists the customer's opportunities</t>
  </si>
  <si>
    <t xml:space="preserve">1. Open a customer that has an opportunity
2. Compare All Units with the customer's opportunities (GET /customers/&lt;id&gt;/units)</t>
  </si>
  <si>
    <t>First customer with an OPP in All Units</t>
  </si>
  <si>
    <t>Every opportunity of the customer is listed with its number, stage and lead</t>
  </si>
  <si>
    <t>CB-018</t>
  </si>
  <si>
    <t>Record link (?selected=id) opens and keeps the customer open</t>
  </si>
  <si>
    <t xml:space="preserve">1. Copy a row's link (/customers?selected=&lt;id&gt;)
2. Open it
3. Wait 3 seconds</t>
  </si>
  <si>
    <t>That customer's window opens and stays open</t>
  </si>
  <si>
    <t>CB-019</t>
  </si>
  <si>
    <t>Link to a missing customer shows a message</t>
  </si>
  <si>
    <t>1. Open /customers?selected=&lt;id that does not exist&gt;</t>
  </si>
  <si>
    <t>00000000-0000-0000-0000-000000000000</t>
  </si>
  <si>
    <t>A message says the customer was not found</t>
  </si>
  <si>
    <t>No "not found" message appears (OBS-03)</t>
  </si>
  <si>
    <t>CB-020</t>
  </si>
  <si>
    <t>Validation</t>
  </si>
  <si>
    <t>Mobile is required</t>
  </si>
  <si>
    <t>Logged in as CRM Administrator; a customer whose name has letters only (first one in the register)</t>
  </si>
  <si>
    <t xml:space="preserve">1. Open the customer
2. Clear Mobile
3. Click Update Customer</t>
  </si>
  <si>
    <t>Mobile empty</t>
  </si>
  <si>
    <t>"Required Fields Missing — Mobile"; nothing is saved</t>
  </si>
  <si>
    <t>CB-021</t>
  </si>
  <si>
    <t>Names may only contain letters</t>
  </si>
  <si>
    <t xml:space="preserve">1. Open the customer
2. Type a digit into First Name
3. Click Update Customer</t>
  </si>
  <si>
    <t>First Name "Daniel2"</t>
  </si>
  <si>
    <t>"First Name may contain letters, spaces, apostrophes, and hyphens only."; nothing is saved</t>
  </si>
  <si>
    <t>CB-022</t>
  </si>
  <si>
    <t>An invalid email is refused</t>
  </si>
  <si>
    <t xml:space="preserve">1. Open the customer
2. Type "bad-email" in Email
3. Click Update Customer</t>
  </si>
  <si>
    <t>Email "bad-email"</t>
  </si>
  <si>
    <t>A message asks for a valid email; nothing is saved</t>
  </si>
  <si>
    <t>Nothing saved; only the browser's own email check appears, no app message (OBS-07)</t>
  </si>
  <si>
    <t>CB-023</t>
  </si>
  <si>
    <t>Closing without saving discards changes</t>
  </si>
  <si>
    <t xml:space="preserve">1. Open the customer
2. Change Remarks
3. Click Close, then Keep editing
4. Click Close, then Discard
5. Open the customer again</t>
  </si>
  <si>
    <t>Remarks + " [unsaved]"</t>
  </si>
  <si>
    <t>"Discard changes? — You have unsaved changes in this form. Close it and discard them?"; Keep editing keeps the change; Discard closes the window; nothing is sent and the original remarks are shown again</t>
  </si>
  <si>
    <t>CB-024</t>
  </si>
  <si>
    <t>Editing a customer saves the change</t>
  </si>
  <si>
    <t xml:space="preserve">1. Open the customer; add " [automated test edit]" to Remarks
2. Click Update Customer
3. Open the customer again; read Remarks, Updated and History
4. Afterwards the test puts the original remarks back</t>
  </si>
  <si>
    <t>Remarks + " [automated test edit]"</t>
  </si>
  <si>
    <t>PATCH succeeds and the window closes; reopened, the remarks show the change, Updated moves on and History lists the remarks change; the original text is restored afterwards</t>
  </si>
  <si>
    <t>Saved; the window closes with no confirmation message (OBS-05); original remarks restored</t>
  </si>
  <si>
    <t>tests/customers-brokers/lifecycle.spec.ts</t>
  </si>
  <si>
    <t>CB-025</t>
  </si>
  <si>
    <t>A customer created from a lead can be edited</t>
  </si>
  <si>
    <t>Logged in as CRM Administrator; a customer created automatically from a lead whose name has digits (e.g. "Enquiry LD-2026-0467 — UAE Prospect 467")</t>
  </si>
  <si>
    <t xml:space="preserve">1. Open the customer
2. Change only Remarks
3. Click Update Customer
4. Afterwards the test puts the original remarks back</t>
  </si>
  <si>
    <t>The change is saved — the name the system gave the customer must not block other edits</t>
  </si>
  <si>
    <t>Refused: "Invalid Entry — First Name / Last Name / Display Name may contain letters, spaces, apostrophes, and hyphens only." — the name the system gave the customer blocks every edit (OBS-01)</t>
  </si>
  <si>
    <t>CB-026</t>
  </si>
  <si>
    <t>Upload</t>
  </si>
  <si>
    <t>KYC upload validation</t>
  </si>
  <si>
    <t xml:space="preserve">1. Open the customer
2. Click Upload with nothing chosen
3. Choose Passport and click Upload</t>
  </si>
  <si>
    <t>"Choose the document type." then "Enter the Passport number."; nothing is uploaded</t>
  </si>
  <si>
    <t>CB-027</t>
  </si>
  <si>
    <t>KYC accepts only PDF, JPG or PNG</t>
  </si>
  <si>
    <t xml:space="preserve">1. Open the customer
2. Choose Passport, a number, an expiry and a .txt file
3. Click Upload</t>
  </si>
  <si>
    <t>notes.txt</t>
  </si>
  <si>
    <t>The file is refused with a message; nothing is uploaded</t>
  </si>
  <si>
    <t>CB-028</t>
  </si>
  <si>
    <t>Uploading a KYC document</t>
  </si>
  <si>
    <t xml:space="preserve">1. Open the customer
2. Passport, number AUTOTEST-&lt;time&gt;, expiry next month 15th, a PDF
3. Click Upload</t>
  </si>
  <si>
    <t>kyc-passport.pdf</t>
  </si>
  <si>
    <t>The document is listed as "Passport · &lt;number&gt;", "Expires &lt;date&gt;", file name and size, "Pending review", with Verify, Reject and Delete; KYC status becomes "Under Review"</t>
  </si>
  <si>
    <t>CB-029</t>
  </si>
  <si>
    <t>Delete</t>
  </si>
  <si>
    <t>Deleting a KYC document</t>
  </si>
  <si>
    <t>Logged in as CRM Administrator; the document uploaded by CB-028</t>
  </si>
  <si>
    <t xml:space="preserve">1. Click Delete on the document, then Keep
2. Click Delete again, then Delete</t>
  </si>
  <si>
    <t>"Delete KYC document? … Keep / Delete"; Keep leaves it; Delete removes it and KYC goes back to "Not Started"</t>
  </si>
  <si>
    <t>CB-030</t>
  </si>
  <si>
    <t>Broker Register loads and shows every column</t>
  </si>
  <si>
    <t xml:space="preserve">1. Open /customers › Brokers
2. Check the columns and rows</t>
  </si>
  <si>
    <t>Columns Broker, Contact, City, Plan, Status, Created Date; each row shows a name with its BRK-… code, phone and email</t>
  </si>
  <si>
    <t>tests/customers-brokers/brokers.spec.ts</t>
  </si>
  <si>
    <t>CB-031</t>
  </si>
  <si>
    <t>Search brokers by name, phone and email</t>
  </si>
  <si>
    <t xml:space="preserve">1. Open Brokers
2. Search the first broker's name, phone and email
3. Search a term that matches nothing</t>
  </si>
  <si>
    <t>First broker of the register</t>
  </si>
  <si>
    <t>Each search lists that broker; a term with no match shows no rows</t>
  </si>
  <si>
    <t>As expected when the phone is typed without spaces (OBS-04)</t>
  </si>
  <si>
    <t>CB-032</t>
  </si>
  <si>
    <t>Sort brokers by name and Created Date</t>
  </si>
  <si>
    <t xml:space="preserve">1. Open Brokers
2. Check the default order
3. Sort Broker ascending, then descending</t>
  </si>
  <si>
    <t>Default is newest first (Created Date ▼); Broker sorts alphabetically both ways</t>
  </si>
  <si>
    <t>CB-033</t>
  </si>
  <si>
    <t>Edit Broker</t>
  </si>
  <si>
    <t>Opening a broker shows its details</t>
  </si>
  <si>
    <t xml:space="preserve">1. Open Brokers
2. Click the first broker</t>
  </si>
  <si>
    <t>Edit Broker shows the same name, mobile, email, city and commission plan as the row</t>
  </si>
  <si>
    <t>CB-034</t>
  </si>
  <si>
    <t>Create Broker</t>
  </si>
  <si>
    <t>New Broker opens the form</t>
  </si>
  <si>
    <t xml:space="preserve">1. Open Brokers
2. Click New Broker</t>
  </si>
  <si>
    <t>Form "Create Broker" with Broker Name (required), Registration No, Tax ID, Mobile, Email, Country, City, Commission Plan / %, Preferred Communication and Remarks</t>
  </si>
  <si>
    <t>CB-035</t>
  </si>
  <si>
    <t>Broker Name is required</t>
  </si>
  <si>
    <t xml:space="preserve">1. Open New Broker
2. Click Create without filling anything</t>
  </si>
  <si>
    <t>"Broker Name is required."; nothing is saved</t>
  </si>
  <si>
    <t>CB-036</t>
  </si>
  <si>
    <t>An invalid broker email is refused</t>
  </si>
  <si>
    <t xml:space="preserve">1. Open New Broker
2. Enter a name and "not-an-email" as Email
3. Click Create</t>
  </si>
  <si>
    <t>Email "not-an-email"</t>
  </si>
  <si>
    <t>"Email must be a valid email address (e.g. name@example.com)."; nothing is saved</t>
  </si>
  <si>
    <t>CB-037</t>
  </si>
  <si>
    <t>Commission must be between 0 and 100</t>
  </si>
  <si>
    <t xml:space="preserve">1. Open New Broker
2. Enter a name and 150% as Commission Plan / %
3. Click Create</t>
  </si>
  <si>
    <t>Commission "150%"</t>
  </si>
  <si>
    <t>"Commission must be a number between 0 and 100 (percent)."; nothing is saved</t>
  </si>
  <si>
    <t>CB-038</t>
  </si>
  <si>
    <t>Closing the form creates nothing</t>
  </si>
  <si>
    <t xml:space="preserve">1. Open New Broker
2. Enter a name
3. Click Close, then Keep editing
4. Click Close, then Discard</t>
  </si>
  <si>
    <t>Name "Automated test - not saved"</t>
  </si>
  <si>
    <t>"Discard changes?" is asked; Keep editing keeps the name; Discard closes the form; nothing is sent and the Brokers card is unchanged</t>
  </si>
  <si>
    <t>CB-039</t>
  </si>
  <si>
    <t>Creating a broker (one test broker, reused)</t>
  </si>
  <si>
    <t xml:space="preserve">1. Search Brokers for "Automated test broker"
2. If none: New Broker › name, mobile, email, commission 2, remarks › Create
3. Check the register and the Brokers card</t>
  </si>
  <si>
    <t>Name "Automated test broker &lt;date-time&gt;"</t>
  </si>
  <si>
    <t>If created: POST succeeds, the broker is listed ACTIVE with its BRK code and values, Brokers +1. If it already exists, the existing test broker is checked instead (no new broker, so no new portal login)</t>
  </si>
  <si>
    <t>The test broker already existed (created on 22-Oct-2026 during exploration), so it was reused — no new broker or portal login</t>
  </si>
  <si>
    <t>CB-040</t>
  </si>
  <si>
    <t>Portal login</t>
  </si>
  <si>
    <t>Creating a broker shows the portal credentials</t>
  </si>
  <si>
    <t>Only when CB-039 created the broker in this run</t>
  </si>
  <si>
    <t xml:space="preserve">1. After Create, read the "Broker Portal Credentials" dialog
2. Click Show, then Done</t>
  </si>
  <si>
    <t>Username = the BRK code in lower case; the temporary password is masked until Show; "First Login Requirement" note; Copy Credentials and Done</t>
  </si>
  <si>
    <t>Seen when the test broker was created on 22-Oct-2026 (exploration, not the automated run): username brk-20261022192842-f73e, password masked until Show, "First Login Requirement" note, Copy Credentials and Done. The automated run skips it while the test broker is reused.</t>
  </si>
  <si>
    <t>CB-041</t>
  </si>
  <si>
    <t>Editing a broker saves the change</t>
  </si>
  <si>
    <t>Logged in as CRM Administrator; the test broker "Automated test broker …" (created by CB-039 if missing)</t>
  </si>
  <si>
    <t xml:space="preserve">1. Open the test broker
2. Change City and Remarks
3. Click Update Broker
4. Check the register; afterwards the test puts the original values back</t>
  </si>
  <si>
    <t>City "Watamu" / "Malindi", Remarks + " [automated test edit]"</t>
  </si>
  <si>
    <t>PATCH succeeds; the register shows the new city; reopened, the form shows the new values; the original values are restored afterwards</t>
  </si>
  <si>
    <t>CB-042</t>
  </si>
  <si>
    <t>API</t>
  </si>
  <si>
    <t>Backend rejects customer and broker requests without a login</t>
  </si>
  <si>
    <t>None (requests sent without a login)</t>
  </si>
  <si>
    <t xml:space="preserve">1. Send GET /customers, GET /brokers, PATCH /customers/&lt;id&gt;, POST /brokers and POST /kyc/customers/&lt;id&gt;/documents without a token
2. Repeat GET with an invalid token</t>
  </si>
  <si>
    <t>Id 00000000-0000-0000-0000-000000000000</t>
  </si>
  <si>
    <t>Every call returns 401</t>
  </si>
  <si>
    <t>tests/customers-brokers/access.spec.ts</t>
  </si>
  <si>
    <t>CB-043</t>
  </si>
  <si>
    <t>Signed-out user is sent to the login page</t>
  </si>
  <si>
    <t>Not logged in (new browser session)</t>
  </si>
  <si>
    <t>1. Open /customers</t>
  </si>
  <si>
    <t>Redirected to /login; no customer data shown</t>
  </si>
  <si>
    <t>CB-044</t>
  </si>
  <si>
    <t>Roles</t>
  </si>
  <si>
    <t>Only permitted roles can edit customers and brokers</t>
  </si>
  <si>
    <t>Test accounts for each role</t>
  </si>
  <si>
    <t xml:space="preserve">1. Log in as each role
2. Open Customers &amp; Brokers and try to edit / create</t>
  </si>
  <si>
    <t>One account per role</t>
  </si>
  <si>
    <t>Users without rights cannot edit or create, in the UI or through the API</t>
  </si>
  <si>
    <t>Not testable yet: only the CRM Administrator login is configured</t>
  </si>
  <si>
    <t>tests/customers-brokers/access.spec.ts (skipped)</t>
  </si>
  <si>
    <t>CB-045</t>
  </si>
  <si>
    <t>Review</t>
  </si>
  <si>
    <t>Verify and Reject a KYC document</t>
  </si>
  <si>
    <t>A customer with a KYC document pending review</t>
  </si>
  <si>
    <t xml:space="preserve">1. Click Verify on a document
2. Click Reject on another (with a reason)</t>
  </si>
  <si>
    <t>Verify sets the document Verified and the KYC status follows; Reject asks for a reason and marks it Rejected</t>
  </si>
  <si>
    <t>Not automated: it would change a real customer's KYC review status, which the test cannot undo</t>
  </si>
  <si>
    <t>tests/customers-brokers/lifecycle.spec.ts (skipped)</t>
  </si>
  <si>
    <t>Obs ID</t>
  </si>
  <si>
    <t>Observation</t>
  </si>
  <si>
    <t>Expected / Question</t>
  </si>
  <si>
    <t>Suggested severity</t>
  </si>
  <si>
    <t>Related TC</t>
  </si>
  <si>
    <t>OBS-01</t>
  </si>
  <si>
    <t>Customers created automatically from a lead get names such as "Enquiry LD-2026-0467 — UAE Prospect 467", which the Edit Customer form itself rejects ("First / Last / Display Name may contain letters, spaces, apostrophes, and hyphens only"). Any change to these customers — even Remarks — is refused.</t>
  </si>
  <si>
    <t>Either give lead-created customers valid names, or only validate the name fields when they are changed.</t>
  </si>
  <si>
    <t>OBS-02</t>
  </si>
  <si>
    <t>A search with no match shows an empty table with no message (the Opportunities register says "No opportunities found.").</t>
  </si>
  <si>
    <t>Show a short empty-state message.</t>
  </si>
  <si>
    <t>OBS-03</t>
  </si>
  <si>
    <t>A link to a customer that does not exist (/customers?selected=&lt;unknown id&gt;) shows no "not found" message.</t>
  </si>
  <si>
    <t>Tell the user the customer was not found or is not accessible.</t>
  </si>
  <si>
    <t>OBS-04</t>
  </si>
  <si>
    <t>Searching a phone number as it is displayed (with spaces, e.g. "+254 700 000 000") finds nothing in either register; it only matches when typed without spaces.</t>
  </si>
  <si>
    <t>Ignore spaces in phone searches.</t>
  </si>
  <si>
    <t>CB-008, CB-031</t>
  </si>
  <si>
    <t>OBS-05</t>
  </si>
  <si>
    <t>Update Customer closes the window without any confirmation message.</t>
  </si>
  <si>
    <t>Show a short "Customer updated" notice.</t>
  </si>
  <si>
    <t>OBS-06</t>
  </si>
  <si>
    <t>Broker create</t>
  </si>
  <si>
    <t>Creating a broker automatically creates a Broker Portal login (username = broker code, temporary password shown once).</t>
  </si>
  <si>
    <t>Information: the test suite therefore creates its test broker only once and reuses it.</t>
  </si>
  <si>
    <t>Info</t>
  </si>
  <si>
    <t>CB-039, CB-040</t>
  </si>
  <si>
    <t>OBS-07</t>
  </si>
  <si>
    <t>An invalid customer email is blocked only by the browser's built-in check (a browser tooltip); the app shows no message of its own, unlike the broker form.</t>
  </si>
  <si>
    <t>Show the same inline message as the broker form.</t>
  </si>
  <si>
    <t>OBS-08</t>
  </si>
  <si>
    <t>The Broker Register has no Export button, while the Customer Register has one.</t>
  </si>
  <si>
    <t>Question: should brokers be exportable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</si>
</sst>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sz val="10"/>
      <name val="Arial"/>
    </font>
    <font>
      <sz val="10"/>
      <name val="Arial"/>
    </font>
    <font>
      <b/>
      <color rgb="FFFFFFFF"/>
      <sz val="10"/>
      <name val="Arial"/>
    </font>
  </fonts>
  <fills count="3">
    <fill>
      <patternFill patternType="none"/>
    </fill>
    <fill>
      <patternFill patternType="gray125"/>
    </fill>
    <fill>
      <patternFill patternType="solid">
        <fgColor rgb="FF12465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xf numFmtId="0" fontId="3" fillId="0" borderId="1" xfId="0" applyFont="1" applyBorder="1"/>
    <xf numFmtId="0" fontId="2" fillId="0" borderId="1" xfId="0" applyFont="1" applyBorder="1"/>
    <xf numFmtId="0" fontId="4" fillId="2" borderId="1" xfId="0" applyFont="1" applyFill="1" applyBorder="1" applyAlignment="1">
      <alignment vertical="center" wrapText="1"/>
    </xf>
    <xf numFmtId="0" fontId="3" fillId="0" borderId="1" xfId="0" applyFont="1" applyBorder="1" applyAlignment="1">
      <alignment vertical="top" wrapText="1"/>
    </xf>
  </cellXfs>
  <cellStyles count="1">
    <cellStyle name="Normal" xfId="0" builtinId="0"/>
  </cellStyles>
  <dxfs count="3">
    <dxf>
      <fill>
        <patternFill patternType="solid">
          <bgColor rgb="FFC6EFCE"/>
        </patternFill>
      </fill>
    </dxf>
    <dxf>
      <fill>
        <patternFill patternType="solid">
          <bgColor rgb="FFFFC7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FormatPr defaultRowHeight="15" outlineLevelRow="0" outlineLevelCol="0" x14ac:dyDescent="55"/>
  <cols>
    <col min="1" max="1" width="32" customWidth="1"/>
    <col min="2" max="2" width="70" customWidth="1"/>
    <col min="3" max="5" width="10" customWidth="1"/>
  </cols>
  <sheetData>
    <row r="1" spans="1: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1" spans="1:5" x14ac:dyDescent="0.25">
      <c r="A11" s="4" t="s">
        <v>15</v>
      </c>
      <c r="B11" s="4" t="s">
        <v>16</v>
      </c>
      <c r="C11" s="4" t="s">
        <v>17</v>
      </c>
      <c r="D11" s="4" t="s">
        <v>18</v>
      </c>
      <c r="E11" s="4" t="s">
        <v>19</v>
      </c>
    </row>
    <row r="12" spans="1:5" x14ac:dyDescent="0.25">
      <c r="A12" s="5" t="s">
        <v>20</v>
      </c>
      <c r="B12" s="5">
        <f>COUNTIF('Test Cases'!$B$2:$B$46,A12)</f>
        <v>5</v>
      </c>
      <c r="C12" s="5">
        <f>COUNTIFS('Test Cases'!$B$2:$B$46,A12,'Test Cases'!$K$2:$K$46,"High")</f>
        <v>4</v>
      </c>
      <c r="D12" s="5">
        <f>COUNTIFS('Test Cases'!$B$2:$B$46,A12,'Test Cases'!$L$2:$L$46,"Pass")</f>
        <v>5</v>
      </c>
      <c r="E12" s="5">
        <f>COUNTIFS('Test Cases'!$B$2:$B$46,A12,'Test Cases'!$L$2:$L$46,"Fail")</f>
        <v>0</v>
      </c>
    </row>
    <row r="13" spans="1:5" x14ac:dyDescent="0.25">
      <c r="A13" s="5" t="s">
        <v>21</v>
      </c>
      <c r="B13" s="5">
        <f>COUNTIF('Test Cases'!$B$2:$B$46,A13)</f>
        <v>9</v>
      </c>
      <c r="C13" s="5">
        <f>COUNTIFS('Test Cases'!$B$2:$B$46,A13,'Test Cases'!$K$2:$K$46,"High")</f>
        <v>5</v>
      </c>
      <c r="D13" s="5">
        <f>COUNTIFS('Test Cases'!$B$2:$B$46,A13,'Test Cases'!$L$2:$L$46,"Pass")</f>
        <v>8</v>
      </c>
      <c r="E13" s="5">
        <f>COUNTIFS('Test Cases'!$B$2:$B$46,A13,'Test Cases'!$L$2:$L$46,"Fail")</f>
        <v>1</v>
      </c>
    </row>
    <row r="14" spans="1:5" x14ac:dyDescent="0.25">
      <c r="A14" s="5" t="s">
        <v>22</v>
      </c>
      <c r="B14" s="5">
        <f>COUNTIF('Test Cases'!$B$2:$B$46,A14)</f>
        <v>5</v>
      </c>
      <c r="C14" s="5">
        <f>COUNTIFS('Test Cases'!$B$2:$B$46,A14,'Test Cases'!$K$2:$K$46,"High")</f>
        <v>2</v>
      </c>
      <c r="D14" s="5">
        <f>COUNTIFS('Test Cases'!$B$2:$B$46,A14,'Test Cases'!$L$2:$L$46,"Pass")</f>
        <v>4</v>
      </c>
      <c r="E14" s="5">
        <f>COUNTIFS('Test Cases'!$B$2:$B$46,A14,'Test Cases'!$L$2:$L$46,"Fail")</f>
        <v>1</v>
      </c>
    </row>
    <row r="15" spans="1:5" x14ac:dyDescent="0.25">
      <c r="A15" s="5" t="s">
        <v>23</v>
      </c>
      <c r="B15" s="5">
        <f>COUNTIF('Test Cases'!$B$2:$B$46,A15)</f>
        <v>6</v>
      </c>
      <c r="C15" s="5">
        <f>COUNTIFS('Test Cases'!$B$2:$B$46,A15,'Test Cases'!$K$2:$K$46,"High")</f>
        <v>4</v>
      </c>
      <c r="D15" s="5">
        <f>COUNTIFS('Test Cases'!$B$2:$B$46,A15,'Test Cases'!$L$2:$L$46,"Pass")</f>
        <v>5</v>
      </c>
      <c r="E15" s="5">
        <f>COUNTIFS('Test Cases'!$B$2:$B$46,A15,'Test Cases'!$L$2:$L$46,"Fail")</f>
        <v>1</v>
      </c>
    </row>
    <row r="16" spans="1:5" x14ac:dyDescent="0.25">
      <c r="A16" s="5" t="s">
        <v>24</v>
      </c>
      <c r="B16" s="5">
        <f>COUNTIF('Test Cases'!$B$2:$B$46,A16)</f>
        <v>5</v>
      </c>
      <c r="C16" s="5">
        <f>COUNTIFS('Test Cases'!$B$2:$B$46,A16,'Test Cases'!$K$2:$K$46,"High")</f>
        <v>3</v>
      </c>
      <c r="D16" s="5">
        <f>COUNTIFS('Test Cases'!$B$2:$B$46,A16,'Test Cases'!$L$2:$L$46,"Pass")</f>
        <v>4</v>
      </c>
      <c r="E16" s="5">
        <f>COUNTIFS('Test Cases'!$B$2:$B$46,A16,'Test Cases'!$L$2:$L$46,"Fail")</f>
        <v>0</v>
      </c>
    </row>
    <row r="17" spans="1:5" x14ac:dyDescent="0.25">
      <c r="A17" s="5" t="s">
        <v>25</v>
      </c>
      <c r="B17" s="5">
        <f>COUNTIF('Test Cases'!$B$2:$B$46,A17)</f>
        <v>4</v>
      </c>
      <c r="C17" s="5">
        <f>COUNTIFS('Test Cases'!$B$2:$B$46,A17,'Test Cases'!$K$2:$K$46,"High")</f>
        <v>3</v>
      </c>
      <c r="D17" s="5">
        <f>COUNTIFS('Test Cases'!$B$2:$B$46,A17,'Test Cases'!$L$2:$L$46,"Pass")</f>
        <v>4</v>
      </c>
      <c r="E17" s="5">
        <f>COUNTIFS('Test Cases'!$B$2:$B$46,A17,'Test Cases'!$L$2:$L$46,"Fail")</f>
        <v>0</v>
      </c>
    </row>
    <row r="18" spans="1:5" x14ac:dyDescent="0.25">
      <c r="A18" s="5" t="s">
        <v>26</v>
      </c>
      <c r="B18" s="5">
        <f>COUNTIF('Test Cases'!$B$2:$B$46,A18)</f>
        <v>5</v>
      </c>
      <c r="C18" s="5">
        <f>COUNTIFS('Test Cases'!$B$2:$B$46,A18,'Test Cases'!$K$2:$K$46,"High")</f>
        <v>4</v>
      </c>
      <c r="D18" s="5">
        <f>COUNTIFS('Test Cases'!$B$2:$B$46,A18,'Test Cases'!$L$2:$L$46,"Pass")</f>
        <v>5</v>
      </c>
      <c r="E18" s="5">
        <f>COUNTIFS('Test Cases'!$B$2:$B$46,A18,'Test Cases'!$L$2:$L$46,"Fail")</f>
        <v>0</v>
      </c>
    </row>
    <row r="19" spans="1:5" x14ac:dyDescent="0.25">
      <c r="A19" s="5" t="s">
        <v>27</v>
      </c>
      <c r="B19" s="5">
        <f>COUNTIF('Test Cases'!$B$2:$B$46,A19)</f>
        <v>3</v>
      </c>
      <c r="C19" s="5">
        <f>COUNTIFS('Test Cases'!$B$2:$B$46,A19,'Test Cases'!$K$2:$K$46,"High")</f>
        <v>3</v>
      </c>
      <c r="D19" s="5">
        <f>COUNTIFS('Test Cases'!$B$2:$B$46,A19,'Test Cases'!$L$2:$L$46,"Pass")</f>
        <v>3</v>
      </c>
      <c r="E19" s="5">
        <f>COUNTIFS('Test Cases'!$B$2:$B$46,A19,'Test Cases'!$L$2:$L$46,"Fail")</f>
        <v>0</v>
      </c>
    </row>
    <row r="20" spans="1:5" x14ac:dyDescent="0.25">
      <c r="A20" s="5" t="s">
        <v>28</v>
      </c>
      <c r="B20" s="5">
        <f>COUNTIF('Test Cases'!$B$2:$B$46,A20)</f>
        <v>3</v>
      </c>
      <c r="C20" s="5">
        <f>COUNTIFS('Test Cases'!$B$2:$B$46,A20,'Test Cases'!$K$2:$K$46,"High")</f>
        <v>3</v>
      </c>
      <c r="D20" s="5">
        <f>COUNTIFS('Test Cases'!$B$2:$B$46,A20,'Test Cases'!$L$2:$L$46,"Pass")</f>
        <v>2</v>
      </c>
      <c r="E20" s="5">
        <f>COUNTIFS('Test Cases'!$B$2:$B$46,A20,'Test Cases'!$L$2:$L$46,"Fail")</f>
        <v>0</v>
      </c>
    </row>
    <row r="21" spans="1:5" x14ac:dyDescent="0.25">
      <c r="A21" s="6" t="s">
        <v>29</v>
      </c>
      <c r="B21" s="5">
        <f>SUM(B12:B20)</f>
        <v>45</v>
      </c>
      <c r="C21" s="5">
        <f>SUM(C12:C20)</f>
        <v>31</v>
      </c>
      <c r="D21" s="5">
        <f>SUM(D12:D20)</f>
        <v>40</v>
      </c>
      <c r="E21" s="5">
        <f>SUM(E12:E20)</f>
        <v>3</v>
      </c>
    </row>
    <row r="23" spans="1:2" x14ac:dyDescent="0.25">
      <c r="A23" s="4" t="s">
        <v>30</v>
      </c>
      <c r="B23" s="4" t="s">
        <v>16</v>
      </c>
    </row>
    <row r="24" spans="1:2" x14ac:dyDescent="0.25">
      <c r="A24" s="5" t="s">
        <v>31</v>
      </c>
      <c r="B24" s="5">
        <f>COUNTIF('Test Cases'!$J$2:$J$46,A24)</f>
        <v>3</v>
      </c>
    </row>
    <row r="25" spans="1:2" x14ac:dyDescent="0.25">
      <c r="A25" s="5" t="s">
        <v>32</v>
      </c>
      <c r="B25" s="5">
        <f>COUNTIF('Test Cases'!$J$2:$J$46,A25)</f>
        <v>5</v>
      </c>
    </row>
    <row r="26" spans="1:2" x14ac:dyDescent="0.25">
      <c r="A26" s="5" t="s">
        <v>33</v>
      </c>
      <c r="B26" s="5">
        <f>COUNTIF('Test Cases'!$J$2:$J$46,A26)</f>
        <v>17</v>
      </c>
    </row>
    <row r="27" spans="1:2" x14ac:dyDescent="0.25">
      <c r="A27" s="5" t="s">
        <v>34</v>
      </c>
      <c r="B27" s="5">
        <f>COUNTIF('Test Cases'!$J$2:$J$46,A27)</f>
        <v>13</v>
      </c>
    </row>
    <row r="28" spans="1:2" x14ac:dyDescent="0.25">
      <c r="A28" s="5" t="s">
        <v>35</v>
      </c>
      <c r="B28" s="5">
        <f>COUNTIF('Test Cases'!$J$2:$J$46,A28)</f>
        <v>3</v>
      </c>
    </row>
    <row r="29" spans="1:2" x14ac:dyDescent="0.25">
      <c r="A29" s="5" t="s">
        <v>36</v>
      </c>
      <c r="B29" s="5">
        <f>COUNTIF('Test Cases'!$J$2:$J$46,A29)</f>
        <v>4</v>
      </c>
    </row>
    <row r="31" spans="1:2" x14ac:dyDescent="0.25">
      <c r="A31" s="4" t="s">
        <v>37</v>
      </c>
      <c r="B31" s="4" t="s">
        <v>16</v>
      </c>
    </row>
    <row r="32" spans="1:2" x14ac:dyDescent="0.25">
      <c r="A32" s="5" t="s">
        <v>17</v>
      </c>
      <c r="B32" s="5">
        <f>COUNTIF('Test Cases'!$K$2:$K$46,A32)</f>
        <v>31</v>
      </c>
    </row>
    <row r="33" spans="1:2" x14ac:dyDescent="0.25">
      <c r="A33" s="5" t="s">
        <v>38</v>
      </c>
      <c r="B33" s="5">
        <f>COUNTIF('Test Cases'!$K$2:$K$46,A33)</f>
        <v>14</v>
      </c>
    </row>
    <row r="34" spans="1:2" x14ac:dyDescent="0.25">
      <c r="A34" s="5" t="s">
        <v>39</v>
      </c>
      <c r="B34" s="5">
        <f>COUNTIF('Test Cases'!$K$2:$K$46,A34)</f>
        <v>0</v>
      </c>
    </row>
    <row r="36" spans="1:2" x14ac:dyDescent="0.25">
      <c r="A36" s="4" t="s">
        <v>40</v>
      </c>
      <c r="B36" s="4" t="s">
        <v>16</v>
      </c>
    </row>
    <row r="37" spans="1:2" x14ac:dyDescent="0.25">
      <c r="A37" s="5" t="s">
        <v>41</v>
      </c>
      <c r="B37" s="5">
        <f>COUNTIF('Test Cases'!$L$2:$L$46,A37)</f>
        <v>0</v>
      </c>
    </row>
    <row r="38" spans="1:2" x14ac:dyDescent="0.25">
      <c r="A38" s="5" t="s">
        <v>18</v>
      </c>
      <c r="B38" s="5">
        <f>COUNTIF('Test Cases'!$L$2:$L$46,A38)</f>
        <v>40</v>
      </c>
    </row>
    <row r="39" spans="1:2" x14ac:dyDescent="0.25">
      <c r="A39" s="5" t="s">
        <v>19</v>
      </c>
      <c r="B39" s="5">
        <f>COUNTIF('Test Cases'!$L$2:$L$46,A39)</f>
        <v>3</v>
      </c>
    </row>
    <row r="40" spans="1:2" x14ac:dyDescent="0.25">
      <c r="A40" s="5" t="s">
        <v>42</v>
      </c>
      <c r="B40" s="5">
        <f>COUNTIF('Test Cases'!$L$2:$L$46,A40)</f>
        <v>2</v>
      </c>
    </row>
    <row r="41" spans="1:2" x14ac:dyDescent="0.25">
      <c r="A41" s="5" t="s">
        <v>43</v>
      </c>
      <c r="B41" s="5">
        <f>COUNTIF('Test Cases'!$L$2:$L$46,A41)</f>
        <v>0</v>
      </c>
    </row>
    <row r="43" spans="1:2" x14ac:dyDescent="0.25">
      <c r="A43" s="6" t="s">
        <v>44</v>
      </c>
      <c r="B43" s="5">
        <f>COUNTA(Observations!$A$2:$A9)</f>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workbookViewId="0">
      <pane xSplit="4" ySplit="1" topLeftCell="E2" activePane="bottomRight" state="frozen"/>
      <selection pane="bottomRight"/>
    </sheetView>
  </sheetViews>
  <sheetFormatPr defaultRowHeight="15" outlineLevelRow="0" outlineLevelCol="0" x14ac:dyDescent="55"/>
  <cols>
    <col min="1" max="1" width="10" customWidth="1"/>
    <col min="2" max="2" width="14" customWidth="1"/>
    <col min="3" max="3" width="18" customWidth="1"/>
    <col min="4" max="4" width="38" customWidth="1"/>
    <col min="5" max="5" width="30" customWidth="1"/>
    <col min="6" max="6" width="48" customWidth="1"/>
    <col min="7" max="7" width="24" customWidth="1"/>
    <col min="8" max="8" width="52" customWidth="1"/>
    <col min="9" max="9" width="44" customWidth="1"/>
    <col min="10" max="10" width="12" customWidth="1"/>
    <col min="11" max="11" width="10" customWidth="1"/>
    <col min="12" max="12" width="12" customWidth="1"/>
    <col min="13" max="13" width="30" customWidth="1"/>
    <col min="14" max="14" width="24" customWidth="1"/>
  </cols>
  <sheetData>
    <row r="1" ht="30" customHeight="1" spans="1:14" x14ac:dyDescent="0.25">
      <c r="A1" s="7" t="s">
        <v>45</v>
      </c>
      <c r="B1" s="7" t="s">
        <v>46</v>
      </c>
      <c r="C1" s="7" t="s">
        <v>47</v>
      </c>
      <c r="D1" s="7" t="s">
        <v>48</v>
      </c>
      <c r="E1" s="7" t="s">
        <v>49</v>
      </c>
      <c r="F1" s="7" t="s">
        <v>50</v>
      </c>
      <c r="G1" s="7" t="s">
        <v>51</v>
      </c>
      <c r="H1" s="7" t="s">
        <v>52</v>
      </c>
      <c r="I1" s="7" t="s">
        <v>53</v>
      </c>
      <c r="J1" s="7" t="s">
        <v>54</v>
      </c>
      <c r="K1" s="7" t="s">
        <v>55</v>
      </c>
      <c r="L1" s="7" t="s">
        <v>56</v>
      </c>
      <c r="M1" s="7" t="s">
        <v>57</v>
      </c>
      <c r="N1" s="7" t="s">
        <v>58</v>
      </c>
    </row>
    <row r="2" spans="1:14" x14ac:dyDescent="0.25">
      <c r="A2" s="8" t="s">
        <v>59</v>
      </c>
      <c r="B2" s="8" t="s">
        <v>20</v>
      </c>
      <c r="C2" s="8" t="s">
        <v>31</v>
      </c>
      <c r="D2" s="8" t="s">
        <v>60</v>
      </c>
      <c r="E2" s="8" t="s">
        <v>61</v>
      </c>
      <c r="F2" s="8" t="s">
        <v>62</v>
      </c>
      <c r="G2" s="8" t="s">
        <v>63</v>
      </c>
      <c r="H2" s="8" t="s">
        <v>64</v>
      </c>
      <c r="I2" s="8" t="s">
        <v>65</v>
      </c>
      <c r="J2" s="8" t="s">
        <v>31</v>
      </c>
      <c r="K2" s="8" t="s">
        <v>17</v>
      </c>
      <c r="L2" s="8" t="s">
        <v>18</v>
      </c>
      <c r="M2" s="8" t="s">
        <v>63</v>
      </c>
      <c r="N2" s="8" t="s">
        <v>66</v>
      </c>
    </row>
    <row r="3" spans="1:14" x14ac:dyDescent="0.25">
      <c r="A3" s="8" t="s">
        <v>67</v>
      </c>
      <c r="B3" s="8" t="s">
        <v>20</v>
      </c>
      <c r="C3" s="8" t="s">
        <v>68</v>
      </c>
      <c r="D3" s="8" t="s">
        <v>69</v>
      </c>
      <c r="E3" s="8" t="s">
        <v>61</v>
      </c>
      <c r="F3" s="8" t="s">
        <v>70</v>
      </c>
      <c r="G3" s="8" t="s">
        <v>63</v>
      </c>
      <c r="H3" s="8" t="s">
        <v>71</v>
      </c>
      <c r="I3" s="8" t="s">
        <v>65</v>
      </c>
      <c r="J3" s="8" t="s">
        <v>32</v>
      </c>
      <c r="K3" s="8" t="s">
        <v>17</v>
      </c>
      <c r="L3" s="8" t="s">
        <v>18</v>
      </c>
      <c r="M3" s="8" t="s">
        <v>63</v>
      </c>
      <c r="N3" s="8" t="s">
        <v>66</v>
      </c>
    </row>
    <row r="4" spans="1:14" x14ac:dyDescent="0.25">
      <c r="A4" s="8" t="s">
        <v>72</v>
      </c>
      <c r="B4" s="8" t="s">
        <v>20</v>
      </c>
      <c r="C4" s="8" t="s">
        <v>68</v>
      </c>
      <c r="D4" s="8" t="s">
        <v>73</v>
      </c>
      <c r="E4" s="8" t="s">
        <v>61</v>
      </c>
      <c r="F4" s="8" t="s">
        <v>74</v>
      </c>
      <c r="G4" s="8" t="s">
        <v>63</v>
      </c>
      <c r="H4" s="8" t="s">
        <v>75</v>
      </c>
      <c r="I4" s="8" t="s">
        <v>65</v>
      </c>
      <c r="J4" s="8" t="s">
        <v>35</v>
      </c>
      <c r="K4" s="8" t="s">
        <v>17</v>
      </c>
      <c r="L4" s="8" t="s">
        <v>18</v>
      </c>
      <c r="M4" s="8" t="s">
        <v>63</v>
      </c>
      <c r="N4" s="8" t="s">
        <v>66</v>
      </c>
    </row>
    <row r="5" spans="1:14" x14ac:dyDescent="0.25">
      <c r="A5" s="8" t="s">
        <v>76</v>
      </c>
      <c r="B5" s="8" t="s">
        <v>20</v>
      </c>
      <c r="C5" s="8" t="s">
        <v>68</v>
      </c>
      <c r="D5" s="8" t="s">
        <v>77</v>
      </c>
      <c r="E5" s="8" t="s">
        <v>61</v>
      </c>
      <c r="F5" s="8" t="s">
        <v>78</v>
      </c>
      <c r="G5" s="8" t="s">
        <v>63</v>
      </c>
      <c r="H5" s="8" t="s">
        <v>79</v>
      </c>
      <c r="I5" s="8" t="s">
        <v>65</v>
      </c>
      <c r="J5" s="8" t="s">
        <v>35</v>
      </c>
      <c r="K5" s="8" t="s">
        <v>17</v>
      </c>
      <c r="L5" s="8" t="s">
        <v>18</v>
      </c>
      <c r="M5" s="8" t="s">
        <v>63</v>
      </c>
      <c r="N5" s="8" t="s">
        <v>66</v>
      </c>
    </row>
    <row r="6" spans="1:14" x14ac:dyDescent="0.25">
      <c r="A6" s="8" t="s">
        <v>80</v>
      </c>
      <c r="B6" s="8" t="s">
        <v>20</v>
      </c>
      <c r="C6" s="8" t="s">
        <v>81</v>
      </c>
      <c r="D6" s="8" t="s">
        <v>82</v>
      </c>
      <c r="E6" s="8" t="s">
        <v>61</v>
      </c>
      <c r="F6" s="8" t="s">
        <v>83</v>
      </c>
      <c r="G6" s="8" t="s">
        <v>63</v>
      </c>
      <c r="H6" s="8" t="s">
        <v>84</v>
      </c>
      <c r="I6" s="8" t="s">
        <v>65</v>
      </c>
      <c r="J6" s="8" t="s">
        <v>31</v>
      </c>
      <c r="K6" s="8" t="s">
        <v>38</v>
      </c>
      <c r="L6" s="8" t="s">
        <v>18</v>
      </c>
      <c r="M6" s="8" t="s">
        <v>63</v>
      </c>
      <c r="N6" s="8" t="s">
        <v>66</v>
      </c>
    </row>
    <row r="7" spans="1:14" x14ac:dyDescent="0.25">
      <c r="A7" s="8" t="s">
        <v>85</v>
      </c>
      <c r="B7" s="8" t="s">
        <v>21</v>
      </c>
      <c r="C7" s="8" t="s">
        <v>86</v>
      </c>
      <c r="D7" s="8" t="s">
        <v>87</v>
      </c>
      <c r="E7" s="8" t="s">
        <v>61</v>
      </c>
      <c r="F7" s="8" t="s">
        <v>88</v>
      </c>
      <c r="G7" s="8" t="s">
        <v>63</v>
      </c>
      <c r="H7" s="8" t="s">
        <v>89</v>
      </c>
      <c r="I7" s="8" t="s">
        <v>65</v>
      </c>
      <c r="J7" s="8" t="s">
        <v>32</v>
      </c>
      <c r="K7" s="8" t="s">
        <v>17</v>
      </c>
      <c r="L7" s="8" t="s">
        <v>18</v>
      </c>
      <c r="M7" s="8" t="s">
        <v>63</v>
      </c>
      <c r="N7" s="8" t="s">
        <v>90</v>
      </c>
    </row>
    <row r="8" spans="1:14" x14ac:dyDescent="0.25">
      <c r="A8" s="8" t="s">
        <v>91</v>
      </c>
      <c r="B8" s="8" t="s">
        <v>21</v>
      </c>
      <c r="C8" s="8" t="s">
        <v>86</v>
      </c>
      <c r="D8" s="8" t="s">
        <v>92</v>
      </c>
      <c r="E8" s="8" t="s">
        <v>61</v>
      </c>
      <c r="F8" s="8" t="s">
        <v>93</v>
      </c>
      <c r="G8" s="8" t="s">
        <v>63</v>
      </c>
      <c r="H8" s="8" t="s">
        <v>94</v>
      </c>
      <c r="I8" s="8" t="s">
        <v>65</v>
      </c>
      <c r="J8" s="8" t="s">
        <v>33</v>
      </c>
      <c r="K8" s="8" t="s">
        <v>17</v>
      </c>
      <c r="L8" s="8" t="s">
        <v>18</v>
      </c>
      <c r="M8" s="8" t="s">
        <v>63</v>
      </c>
      <c r="N8" s="8" t="s">
        <v>90</v>
      </c>
    </row>
    <row r="9" spans="1:14" x14ac:dyDescent="0.25">
      <c r="A9" s="8" t="s">
        <v>95</v>
      </c>
      <c r="B9" s="8" t="s">
        <v>21</v>
      </c>
      <c r="C9" s="8" t="s">
        <v>96</v>
      </c>
      <c r="D9" s="8" t="s">
        <v>97</v>
      </c>
      <c r="E9" s="8" t="s">
        <v>61</v>
      </c>
      <c r="F9" s="8" t="s">
        <v>98</v>
      </c>
      <c r="G9" s="8" t="s">
        <v>99</v>
      </c>
      <c r="H9" s="8" t="s">
        <v>100</v>
      </c>
      <c r="I9" s="8" t="s">
        <v>101</v>
      </c>
      <c r="J9" s="8" t="s">
        <v>33</v>
      </c>
      <c r="K9" s="8" t="s">
        <v>17</v>
      </c>
      <c r="L9" s="8" t="s">
        <v>18</v>
      </c>
      <c r="M9" s="8" t="s">
        <v>63</v>
      </c>
      <c r="N9" s="8" t="s">
        <v>90</v>
      </c>
    </row>
    <row r="10" spans="1:14" x14ac:dyDescent="0.25">
      <c r="A10" s="8" t="s">
        <v>102</v>
      </c>
      <c r="B10" s="8" t="s">
        <v>21</v>
      </c>
      <c r="C10" s="8" t="s">
        <v>96</v>
      </c>
      <c r="D10" s="8" t="s">
        <v>103</v>
      </c>
      <c r="E10" s="8" t="s">
        <v>61</v>
      </c>
      <c r="F10" s="8" t="s">
        <v>104</v>
      </c>
      <c r="G10" s="8" t="s">
        <v>105</v>
      </c>
      <c r="H10" s="8" t="s">
        <v>106</v>
      </c>
      <c r="I10" s="8" t="s">
        <v>107</v>
      </c>
      <c r="J10" s="8" t="s">
        <v>34</v>
      </c>
      <c r="K10" s="8" t="s">
        <v>38</v>
      </c>
      <c r="L10" s="8" t="s">
        <v>19</v>
      </c>
      <c r="M10" s="8" t="s">
        <v>63</v>
      </c>
      <c r="N10" s="8" t="s">
        <v>90</v>
      </c>
    </row>
    <row r="11" spans="1:14" x14ac:dyDescent="0.25">
      <c r="A11" s="8" t="s">
        <v>108</v>
      </c>
      <c r="B11" s="8" t="s">
        <v>21</v>
      </c>
      <c r="C11" s="8" t="s">
        <v>96</v>
      </c>
      <c r="D11" s="8" t="s">
        <v>109</v>
      </c>
      <c r="E11" s="8" t="s">
        <v>61</v>
      </c>
      <c r="F11" s="8" t="s">
        <v>110</v>
      </c>
      <c r="G11" s="8" t="s">
        <v>111</v>
      </c>
      <c r="H11" s="8" t="s">
        <v>112</v>
      </c>
      <c r="I11" s="8" t="s">
        <v>65</v>
      </c>
      <c r="J11" s="8" t="s">
        <v>33</v>
      </c>
      <c r="K11" s="8" t="s">
        <v>38</v>
      </c>
      <c r="L11" s="8" t="s">
        <v>18</v>
      </c>
      <c r="M11" s="8" t="s">
        <v>63</v>
      </c>
      <c r="N11" s="8" t="s">
        <v>90</v>
      </c>
    </row>
    <row r="12" spans="1:14" x14ac:dyDescent="0.25">
      <c r="A12" s="8" t="s">
        <v>113</v>
      </c>
      <c r="B12" s="8" t="s">
        <v>21</v>
      </c>
      <c r="C12" s="8" t="s">
        <v>114</v>
      </c>
      <c r="D12" s="8" t="s">
        <v>115</v>
      </c>
      <c r="E12" s="8" t="s">
        <v>61</v>
      </c>
      <c r="F12" s="8" t="s">
        <v>116</v>
      </c>
      <c r="G12" s="8" t="s">
        <v>63</v>
      </c>
      <c r="H12" s="8" t="s">
        <v>117</v>
      </c>
      <c r="I12" s="8" t="s">
        <v>65</v>
      </c>
      <c r="J12" s="8" t="s">
        <v>33</v>
      </c>
      <c r="K12" s="8" t="s">
        <v>38</v>
      </c>
      <c r="L12" s="8" t="s">
        <v>18</v>
      </c>
      <c r="M12" s="8" t="s">
        <v>63</v>
      </c>
      <c r="N12" s="8" t="s">
        <v>90</v>
      </c>
    </row>
    <row r="13" spans="1:14" x14ac:dyDescent="0.25">
      <c r="A13" s="8" t="s">
        <v>118</v>
      </c>
      <c r="B13" s="8" t="s">
        <v>21</v>
      </c>
      <c r="C13" s="8" t="s">
        <v>119</v>
      </c>
      <c r="D13" s="8" t="s">
        <v>120</v>
      </c>
      <c r="E13" s="8" t="s">
        <v>61</v>
      </c>
      <c r="F13" s="8" t="s">
        <v>121</v>
      </c>
      <c r="G13" s="8" t="s">
        <v>63</v>
      </c>
      <c r="H13" s="8" t="s">
        <v>122</v>
      </c>
      <c r="I13" s="8" t="s">
        <v>65</v>
      </c>
      <c r="J13" s="8" t="s">
        <v>33</v>
      </c>
      <c r="K13" s="8" t="s">
        <v>17</v>
      </c>
      <c r="L13" s="8" t="s">
        <v>18</v>
      </c>
      <c r="M13" s="8" t="s">
        <v>63</v>
      </c>
      <c r="N13" s="8" t="s">
        <v>90</v>
      </c>
    </row>
    <row r="14" spans="1:14" x14ac:dyDescent="0.25">
      <c r="A14" s="8" t="s">
        <v>123</v>
      </c>
      <c r="B14" s="8" t="s">
        <v>21</v>
      </c>
      <c r="C14" s="8" t="s">
        <v>119</v>
      </c>
      <c r="D14" s="8" t="s">
        <v>124</v>
      </c>
      <c r="E14" s="8" t="s">
        <v>61</v>
      </c>
      <c r="F14" s="8" t="s">
        <v>125</v>
      </c>
      <c r="G14" s="8" t="s">
        <v>126</v>
      </c>
      <c r="H14" s="8" t="s">
        <v>127</v>
      </c>
      <c r="I14" s="8" t="s">
        <v>65</v>
      </c>
      <c r="J14" s="8" t="s">
        <v>33</v>
      </c>
      <c r="K14" s="8" t="s">
        <v>38</v>
      </c>
      <c r="L14" s="8" t="s">
        <v>18</v>
      </c>
      <c r="M14" s="8" t="s">
        <v>63</v>
      </c>
      <c r="N14" s="8" t="s">
        <v>90</v>
      </c>
    </row>
    <row r="15" spans="1:14" x14ac:dyDescent="0.25">
      <c r="A15" s="8" t="s">
        <v>128</v>
      </c>
      <c r="B15" s="8" t="s">
        <v>21</v>
      </c>
      <c r="C15" s="8" t="s">
        <v>129</v>
      </c>
      <c r="D15" s="8" t="s">
        <v>130</v>
      </c>
      <c r="E15" s="8" t="s">
        <v>61</v>
      </c>
      <c r="F15" s="8" t="s">
        <v>131</v>
      </c>
      <c r="G15" s="8" t="s">
        <v>63</v>
      </c>
      <c r="H15" s="8" t="s">
        <v>132</v>
      </c>
      <c r="I15" s="8" t="s">
        <v>65</v>
      </c>
      <c r="J15" s="8" t="s">
        <v>34</v>
      </c>
      <c r="K15" s="8" t="s">
        <v>17</v>
      </c>
      <c r="L15" s="8" t="s">
        <v>18</v>
      </c>
      <c r="M15" s="8" t="s">
        <v>63</v>
      </c>
      <c r="N15" s="8" t="s">
        <v>90</v>
      </c>
    </row>
    <row r="16" spans="1:14" x14ac:dyDescent="0.25">
      <c r="A16" s="8" t="s">
        <v>133</v>
      </c>
      <c r="B16" s="8" t="s">
        <v>22</v>
      </c>
      <c r="C16" s="8" t="s">
        <v>134</v>
      </c>
      <c r="D16" s="8" t="s">
        <v>135</v>
      </c>
      <c r="E16" s="8" t="s">
        <v>61</v>
      </c>
      <c r="F16" s="8" t="s">
        <v>136</v>
      </c>
      <c r="G16" s="8" t="s">
        <v>63</v>
      </c>
      <c r="H16" s="8" t="s">
        <v>137</v>
      </c>
      <c r="I16" s="8" t="s">
        <v>65</v>
      </c>
      <c r="J16" s="8" t="s">
        <v>33</v>
      </c>
      <c r="K16" s="8" t="s">
        <v>17</v>
      </c>
      <c r="L16" s="8" t="s">
        <v>18</v>
      </c>
      <c r="M16" s="8" t="s">
        <v>63</v>
      </c>
      <c r="N16" s="8" t="s">
        <v>90</v>
      </c>
    </row>
    <row r="17" spans="1:14" x14ac:dyDescent="0.25">
      <c r="A17" s="8" t="s">
        <v>138</v>
      </c>
      <c r="B17" s="8" t="s">
        <v>22</v>
      </c>
      <c r="C17" s="8" t="s">
        <v>134</v>
      </c>
      <c r="D17" s="8" t="s">
        <v>139</v>
      </c>
      <c r="E17" s="8" t="s">
        <v>61</v>
      </c>
      <c r="F17" s="8" t="s">
        <v>140</v>
      </c>
      <c r="G17" s="8" t="s">
        <v>63</v>
      </c>
      <c r="H17" s="8" t="s">
        <v>141</v>
      </c>
      <c r="I17" s="8" t="s">
        <v>65</v>
      </c>
      <c r="J17" s="8" t="s">
        <v>32</v>
      </c>
      <c r="K17" s="8" t="s">
        <v>38</v>
      </c>
      <c r="L17" s="8" t="s">
        <v>18</v>
      </c>
      <c r="M17" s="8" t="s">
        <v>63</v>
      </c>
      <c r="N17" s="8" t="s">
        <v>90</v>
      </c>
    </row>
    <row r="18" spans="1:14" x14ac:dyDescent="0.25">
      <c r="A18" s="8" t="s">
        <v>142</v>
      </c>
      <c r="B18" s="8" t="s">
        <v>22</v>
      </c>
      <c r="C18" s="8" t="s">
        <v>143</v>
      </c>
      <c r="D18" s="8" t="s">
        <v>144</v>
      </c>
      <c r="E18" s="8" t="s">
        <v>61</v>
      </c>
      <c r="F18" s="8" t="s">
        <v>145</v>
      </c>
      <c r="G18" s="8" t="s">
        <v>146</v>
      </c>
      <c r="H18" s="8" t="s">
        <v>147</v>
      </c>
      <c r="I18" s="8" t="s">
        <v>65</v>
      </c>
      <c r="J18" s="8" t="s">
        <v>35</v>
      </c>
      <c r="K18" s="8" t="s">
        <v>38</v>
      </c>
      <c r="L18" s="8" t="s">
        <v>18</v>
      </c>
      <c r="M18" s="8" t="s">
        <v>63</v>
      </c>
      <c r="N18" s="8" t="s">
        <v>90</v>
      </c>
    </row>
    <row r="19" spans="1:14" x14ac:dyDescent="0.25">
      <c r="A19" s="8" t="s">
        <v>148</v>
      </c>
      <c r="B19" s="8" t="s">
        <v>22</v>
      </c>
      <c r="C19" s="8" t="s">
        <v>134</v>
      </c>
      <c r="D19" s="8" t="s">
        <v>149</v>
      </c>
      <c r="E19" s="8" t="s">
        <v>61</v>
      </c>
      <c r="F19" s="8" t="s">
        <v>150</v>
      </c>
      <c r="G19" s="8" t="s">
        <v>63</v>
      </c>
      <c r="H19" s="8" t="s">
        <v>151</v>
      </c>
      <c r="I19" s="8" t="s">
        <v>65</v>
      </c>
      <c r="J19" s="8" t="s">
        <v>31</v>
      </c>
      <c r="K19" s="8" t="s">
        <v>17</v>
      </c>
      <c r="L19" s="8" t="s">
        <v>18</v>
      </c>
      <c r="M19" s="8" t="s">
        <v>63</v>
      </c>
      <c r="N19" s="8" t="s">
        <v>90</v>
      </c>
    </row>
    <row r="20" spans="1:14" x14ac:dyDescent="0.25">
      <c r="A20" s="8" t="s">
        <v>152</v>
      </c>
      <c r="B20" s="8" t="s">
        <v>22</v>
      </c>
      <c r="C20" s="8" t="s">
        <v>134</v>
      </c>
      <c r="D20" s="8" t="s">
        <v>153</v>
      </c>
      <c r="E20" s="8" t="s">
        <v>61</v>
      </c>
      <c r="F20" s="8" t="s">
        <v>154</v>
      </c>
      <c r="G20" s="8" t="s">
        <v>155</v>
      </c>
      <c r="H20" s="8" t="s">
        <v>156</v>
      </c>
      <c r="I20" s="8" t="s">
        <v>157</v>
      </c>
      <c r="J20" s="8" t="s">
        <v>34</v>
      </c>
      <c r="K20" s="8" t="s">
        <v>38</v>
      </c>
      <c r="L20" s="8" t="s">
        <v>19</v>
      </c>
      <c r="M20" s="8" t="s">
        <v>63</v>
      </c>
      <c r="N20" s="8" t="s">
        <v>90</v>
      </c>
    </row>
    <row r="21" spans="1:14" x14ac:dyDescent="0.25">
      <c r="A21" s="8" t="s">
        <v>158</v>
      </c>
      <c r="B21" s="8" t="s">
        <v>23</v>
      </c>
      <c r="C21" s="8" t="s">
        <v>159</v>
      </c>
      <c r="D21" s="8" t="s">
        <v>160</v>
      </c>
      <c r="E21" s="8" t="s">
        <v>161</v>
      </c>
      <c r="F21" s="8" t="s">
        <v>162</v>
      </c>
      <c r="G21" s="8" t="s">
        <v>163</v>
      </c>
      <c r="H21" s="8" t="s">
        <v>164</v>
      </c>
      <c r="I21" s="8" t="s">
        <v>65</v>
      </c>
      <c r="J21" s="8" t="s">
        <v>34</v>
      </c>
      <c r="K21" s="8" t="s">
        <v>17</v>
      </c>
      <c r="L21" s="8" t="s">
        <v>18</v>
      </c>
      <c r="M21" s="8" t="s">
        <v>63</v>
      </c>
      <c r="N21" s="8" t="s">
        <v>90</v>
      </c>
    </row>
    <row r="22" spans="1:14" x14ac:dyDescent="0.25">
      <c r="A22" s="8" t="s">
        <v>165</v>
      </c>
      <c r="B22" s="8" t="s">
        <v>23</v>
      </c>
      <c r="C22" s="8" t="s">
        <v>159</v>
      </c>
      <c r="D22" s="8" t="s">
        <v>166</v>
      </c>
      <c r="E22" s="8" t="s">
        <v>161</v>
      </c>
      <c r="F22" s="8" t="s">
        <v>167</v>
      </c>
      <c r="G22" s="8" t="s">
        <v>168</v>
      </c>
      <c r="H22" s="8" t="s">
        <v>169</v>
      </c>
      <c r="I22" s="8" t="s">
        <v>65</v>
      </c>
      <c r="J22" s="8" t="s">
        <v>34</v>
      </c>
      <c r="K22" s="8" t="s">
        <v>17</v>
      </c>
      <c r="L22" s="8" t="s">
        <v>18</v>
      </c>
      <c r="M22" s="8" t="s">
        <v>63</v>
      </c>
      <c r="N22" s="8" t="s">
        <v>90</v>
      </c>
    </row>
    <row r="23" spans="1:14" x14ac:dyDescent="0.25">
      <c r="A23" s="8" t="s">
        <v>170</v>
      </c>
      <c r="B23" s="8" t="s">
        <v>23</v>
      </c>
      <c r="C23" s="8" t="s">
        <v>159</v>
      </c>
      <c r="D23" s="8" t="s">
        <v>171</v>
      </c>
      <c r="E23" s="8" t="s">
        <v>161</v>
      </c>
      <c r="F23" s="8" t="s">
        <v>172</v>
      </c>
      <c r="G23" s="8" t="s">
        <v>173</v>
      </c>
      <c r="H23" s="8" t="s">
        <v>174</v>
      </c>
      <c r="I23" s="8" t="s">
        <v>175</v>
      </c>
      <c r="J23" s="8" t="s">
        <v>34</v>
      </c>
      <c r="K23" s="8" t="s">
        <v>38</v>
      </c>
      <c r="L23" s="8" t="s">
        <v>18</v>
      </c>
      <c r="M23" s="8" t="s">
        <v>63</v>
      </c>
      <c r="N23" s="8" t="s">
        <v>90</v>
      </c>
    </row>
    <row r="24" spans="1:14" x14ac:dyDescent="0.25">
      <c r="A24" s="8" t="s">
        <v>176</v>
      </c>
      <c r="B24" s="8" t="s">
        <v>23</v>
      </c>
      <c r="C24" s="8" t="s">
        <v>134</v>
      </c>
      <c r="D24" s="8" t="s">
        <v>177</v>
      </c>
      <c r="E24" s="8" t="s">
        <v>161</v>
      </c>
      <c r="F24" s="8" t="s">
        <v>178</v>
      </c>
      <c r="G24" s="8" t="s">
        <v>179</v>
      </c>
      <c r="H24" s="8" t="s">
        <v>180</v>
      </c>
      <c r="I24" s="8" t="s">
        <v>65</v>
      </c>
      <c r="J24" s="8" t="s">
        <v>34</v>
      </c>
      <c r="K24" s="8" t="s">
        <v>38</v>
      </c>
      <c r="L24" s="8" t="s">
        <v>18</v>
      </c>
      <c r="M24" s="8" t="s">
        <v>63</v>
      </c>
      <c r="N24" s="8" t="s">
        <v>90</v>
      </c>
    </row>
    <row r="25" spans="1:14" x14ac:dyDescent="0.25">
      <c r="A25" s="8" t="s">
        <v>181</v>
      </c>
      <c r="B25" s="8" t="s">
        <v>23</v>
      </c>
      <c r="C25" s="8" t="s">
        <v>134</v>
      </c>
      <c r="D25" s="8" t="s">
        <v>182</v>
      </c>
      <c r="E25" s="8" t="s">
        <v>161</v>
      </c>
      <c r="F25" s="8" t="s">
        <v>183</v>
      </c>
      <c r="G25" s="8" t="s">
        <v>184</v>
      </c>
      <c r="H25" s="8" t="s">
        <v>185</v>
      </c>
      <c r="I25" s="8" t="s">
        <v>186</v>
      </c>
      <c r="J25" s="8" t="s">
        <v>33</v>
      </c>
      <c r="K25" s="8" t="s">
        <v>17</v>
      </c>
      <c r="L25" s="8" t="s">
        <v>18</v>
      </c>
      <c r="M25" s="8" t="s">
        <v>63</v>
      </c>
      <c r="N25" s="8" t="s">
        <v>187</v>
      </c>
    </row>
    <row r="26" spans="1:14" x14ac:dyDescent="0.25">
      <c r="A26" s="8" t="s">
        <v>188</v>
      </c>
      <c r="B26" s="8" t="s">
        <v>23</v>
      </c>
      <c r="C26" s="8" t="s">
        <v>134</v>
      </c>
      <c r="D26" s="8" t="s">
        <v>189</v>
      </c>
      <c r="E26" s="8" t="s">
        <v>190</v>
      </c>
      <c r="F26" s="8" t="s">
        <v>191</v>
      </c>
      <c r="G26" s="8" t="s">
        <v>184</v>
      </c>
      <c r="H26" s="8" t="s">
        <v>192</v>
      </c>
      <c r="I26" s="8" t="s">
        <v>193</v>
      </c>
      <c r="J26" s="8" t="s">
        <v>33</v>
      </c>
      <c r="K26" s="8" t="s">
        <v>17</v>
      </c>
      <c r="L26" s="8" t="s">
        <v>19</v>
      </c>
      <c r="M26" s="8" t="s">
        <v>63</v>
      </c>
      <c r="N26" s="8" t="s">
        <v>187</v>
      </c>
    </row>
    <row r="27" spans="1:14" x14ac:dyDescent="0.25">
      <c r="A27" s="8" t="s">
        <v>194</v>
      </c>
      <c r="B27" s="8" t="s">
        <v>24</v>
      </c>
      <c r="C27" s="8" t="s">
        <v>195</v>
      </c>
      <c r="D27" s="8" t="s">
        <v>196</v>
      </c>
      <c r="E27" s="8" t="s">
        <v>161</v>
      </c>
      <c r="F27" s="8" t="s">
        <v>197</v>
      </c>
      <c r="G27" s="8" t="s">
        <v>63</v>
      </c>
      <c r="H27" s="8" t="s">
        <v>198</v>
      </c>
      <c r="I27" s="8" t="s">
        <v>65</v>
      </c>
      <c r="J27" s="8" t="s">
        <v>34</v>
      </c>
      <c r="K27" s="8" t="s">
        <v>17</v>
      </c>
      <c r="L27" s="8" t="s">
        <v>18</v>
      </c>
      <c r="M27" s="8" t="s">
        <v>63</v>
      </c>
      <c r="N27" s="8" t="s">
        <v>187</v>
      </c>
    </row>
    <row r="28" spans="1:14" x14ac:dyDescent="0.25">
      <c r="A28" s="8" t="s">
        <v>199</v>
      </c>
      <c r="B28" s="8" t="s">
        <v>24</v>
      </c>
      <c r="C28" s="8" t="s">
        <v>195</v>
      </c>
      <c r="D28" s="8" t="s">
        <v>200</v>
      </c>
      <c r="E28" s="8" t="s">
        <v>161</v>
      </c>
      <c r="F28" s="8" t="s">
        <v>201</v>
      </c>
      <c r="G28" s="8" t="s">
        <v>202</v>
      </c>
      <c r="H28" s="8" t="s">
        <v>203</v>
      </c>
      <c r="I28" s="8" t="s">
        <v>65</v>
      </c>
      <c r="J28" s="8" t="s">
        <v>34</v>
      </c>
      <c r="K28" s="8" t="s">
        <v>38</v>
      </c>
      <c r="L28" s="8" t="s">
        <v>18</v>
      </c>
      <c r="M28" s="8" t="s">
        <v>63</v>
      </c>
      <c r="N28" s="8" t="s">
        <v>187</v>
      </c>
    </row>
    <row r="29" spans="1:14" x14ac:dyDescent="0.25">
      <c r="A29" s="8" t="s">
        <v>204</v>
      </c>
      <c r="B29" s="8" t="s">
        <v>24</v>
      </c>
      <c r="C29" s="8" t="s">
        <v>195</v>
      </c>
      <c r="D29" s="8" t="s">
        <v>205</v>
      </c>
      <c r="E29" s="8" t="s">
        <v>161</v>
      </c>
      <c r="F29" s="8" t="s">
        <v>206</v>
      </c>
      <c r="G29" s="8" t="s">
        <v>207</v>
      </c>
      <c r="H29" s="8" t="s">
        <v>208</v>
      </c>
      <c r="I29" s="8" t="s">
        <v>65</v>
      </c>
      <c r="J29" s="8" t="s">
        <v>33</v>
      </c>
      <c r="K29" s="8" t="s">
        <v>17</v>
      </c>
      <c r="L29" s="8" t="s">
        <v>18</v>
      </c>
      <c r="M29" s="8" t="s">
        <v>63</v>
      </c>
      <c r="N29" s="8" t="s">
        <v>187</v>
      </c>
    </row>
    <row r="30" spans="1:14" x14ac:dyDescent="0.25">
      <c r="A30" s="8" t="s">
        <v>209</v>
      </c>
      <c r="B30" s="8" t="s">
        <v>24</v>
      </c>
      <c r="C30" s="8" t="s">
        <v>210</v>
      </c>
      <c r="D30" s="8" t="s">
        <v>211</v>
      </c>
      <c r="E30" s="8" t="s">
        <v>212</v>
      </c>
      <c r="F30" s="8" t="s">
        <v>213</v>
      </c>
      <c r="G30" s="8" t="s">
        <v>63</v>
      </c>
      <c r="H30" s="8" t="s">
        <v>214</v>
      </c>
      <c r="I30" s="8" t="s">
        <v>65</v>
      </c>
      <c r="J30" s="8" t="s">
        <v>33</v>
      </c>
      <c r="K30" s="8" t="s">
        <v>17</v>
      </c>
      <c r="L30" s="8" t="s">
        <v>18</v>
      </c>
      <c r="M30" s="8" t="s">
        <v>63</v>
      </c>
      <c r="N30" s="8" t="s">
        <v>187</v>
      </c>
    </row>
    <row r="31" spans="1:14" x14ac:dyDescent="0.25">
      <c r="A31" s="8" t="s">
        <v>215</v>
      </c>
      <c r="B31" s="8" t="s">
        <v>25</v>
      </c>
      <c r="C31" s="8" t="s">
        <v>86</v>
      </c>
      <c r="D31" s="8" t="s">
        <v>216</v>
      </c>
      <c r="E31" s="8" t="s">
        <v>61</v>
      </c>
      <c r="F31" s="8" t="s">
        <v>217</v>
      </c>
      <c r="G31" s="8" t="s">
        <v>63</v>
      </c>
      <c r="H31" s="8" t="s">
        <v>218</v>
      </c>
      <c r="I31" s="8" t="s">
        <v>65</v>
      </c>
      <c r="J31" s="8" t="s">
        <v>32</v>
      </c>
      <c r="K31" s="8" t="s">
        <v>17</v>
      </c>
      <c r="L31" s="8" t="s">
        <v>18</v>
      </c>
      <c r="M31" s="8" t="s">
        <v>63</v>
      </c>
      <c r="N31" s="8" t="s">
        <v>219</v>
      </c>
    </row>
    <row r="32" spans="1:14" x14ac:dyDescent="0.25">
      <c r="A32" s="8" t="s">
        <v>220</v>
      </c>
      <c r="B32" s="8" t="s">
        <v>25</v>
      </c>
      <c r="C32" s="8" t="s">
        <v>96</v>
      </c>
      <c r="D32" s="8" t="s">
        <v>221</v>
      </c>
      <c r="E32" s="8" t="s">
        <v>61</v>
      </c>
      <c r="F32" s="8" t="s">
        <v>222</v>
      </c>
      <c r="G32" s="8" t="s">
        <v>223</v>
      </c>
      <c r="H32" s="8" t="s">
        <v>224</v>
      </c>
      <c r="I32" s="8" t="s">
        <v>225</v>
      </c>
      <c r="J32" s="8" t="s">
        <v>33</v>
      </c>
      <c r="K32" s="8" t="s">
        <v>17</v>
      </c>
      <c r="L32" s="8" t="s">
        <v>18</v>
      </c>
      <c r="M32" s="8" t="s">
        <v>63</v>
      </c>
      <c r="N32" s="8" t="s">
        <v>219</v>
      </c>
    </row>
    <row r="33" spans="1:14" x14ac:dyDescent="0.25">
      <c r="A33" s="8" t="s">
        <v>226</v>
      </c>
      <c r="B33" s="8" t="s">
        <v>25</v>
      </c>
      <c r="C33" s="8" t="s">
        <v>114</v>
      </c>
      <c r="D33" s="8" t="s">
        <v>227</v>
      </c>
      <c r="E33" s="8" t="s">
        <v>61</v>
      </c>
      <c r="F33" s="8" t="s">
        <v>228</v>
      </c>
      <c r="G33" s="8" t="s">
        <v>63</v>
      </c>
      <c r="H33" s="8" t="s">
        <v>229</v>
      </c>
      <c r="I33" s="8" t="s">
        <v>65</v>
      </c>
      <c r="J33" s="8" t="s">
        <v>33</v>
      </c>
      <c r="K33" s="8" t="s">
        <v>38</v>
      </c>
      <c r="L33" s="8" t="s">
        <v>18</v>
      </c>
      <c r="M33" s="8" t="s">
        <v>63</v>
      </c>
      <c r="N33" s="8" t="s">
        <v>219</v>
      </c>
    </row>
    <row r="34" spans="1:14" x14ac:dyDescent="0.25">
      <c r="A34" s="8" t="s">
        <v>230</v>
      </c>
      <c r="B34" s="8" t="s">
        <v>25</v>
      </c>
      <c r="C34" s="8" t="s">
        <v>231</v>
      </c>
      <c r="D34" s="8" t="s">
        <v>232</v>
      </c>
      <c r="E34" s="8" t="s">
        <v>61</v>
      </c>
      <c r="F34" s="8" t="s">
        <v>233</v>
      </c>
      <c r="G34" s="8" t="s">
        <v>63</v>
      </c>
      <c r="H34" s="8" t="s">
        <v>234</v>
      </c>
      <c r="I34" s="8" t="s">
        <v>65</v>
      </c>
      <c r="J34" s="8" t="s">
        <v>33</v>
      </c>
      <c r="K34" s="8" t="s">
        <v>17</v>
      </c>
      <c r="L34" s="8" t="s">
        <v>18</v>
      </c>
      <c r="M34" s="8" t="s">
        <v>63</v>
      </c>
      <c r="N34" s="8" t="s">
        <v>219</v>
      </c>
    </row>
    <row r="35" spans="1:14" x14ac:dyDescent="0.25">
      <c r="A35" s="8" t="s">
        <v>235</v>
      </c>
      <c r="B35" s="8" t="s">
        <v>26</v>
      </c>
      <c r="C35" s="8" t="s">
        <v>236</v>
      </c>
      <c r="D35" s="8" t="s">
        <v>237</v>
      </c>
      <c r="E35" s="8" t="s">
        <v>61</v>
      </c>
      <c r="F35" s="8" t="s">
        <v>238</v>
      </c>
      <c r="G35" s="8" t="s">
        <v>63</v>
      </c>
      <c r="H35" s="8" t="s">
        <v>239</v>
      </c>
      <c r="I35" s="8" t="s">
        <v>65</v>
      </c>
      <c r="J35" s="8" t="s">
        <v>32</v>
      </c>
      <c r="K35" s="8" t="s">
        <v>17</v>
      </c>
      <c r="L35" s="8" t="s">
        <v>18</v>
      </c>
      <c r="M35" s="8" t="s">
        <v>63</v>
      </c>
      <c r="N35" s="8" t="s">
        <v>219</v>
      </c>
    </row>
    <row r="36" spans="1:14" x14ac:dyDescent="0.25">
      <c r="A36" s="8" t="s">
        <v>240</v>
      </c>
      <c r="B36" s="8" t="s">
        <v>26</v>
      </c>
      <c r="C36" s="8" t="s">
        <v>159</v>
      </c>
      <c r="D36" s="8" t="s">
        <v>241</v>
      </c>
      <c r="E36" s="8" t="s">
        <v>61</v>
      </c>
      <c r="F36" s="8" t="s">
        <v>242</v>
      </c>
      <c r="G36" s="8" t="s">
        <v>63</v>
      </c>
      <c r="H36" s="8" t="s">
        <v>243</v>
      </c>
      <c r="I36" s="8" t="s">
        <v>65</v>
      </c>
      <c r="J36" s="8" t="s">
        <v>34</v>
      </c>
      <c r="K36" s="8" t="s">
        <v>17</v>
      </c>
      <c r="L36" s="8" t="s">
        <v>18</v>
      </c>
      <c r="M36" s="8" t="s">
        <v>63</v>
      </c>
      <c r="N36" s="8" t="s">
        <v>219</v>
      </c>
    </row>
    <row r="37" spans="1:14" x14ac:dyDescent="0.25">
      <c r="A37" s="8" t="s">
        <v>244</v>
      </c>
      <c r="B37" s="8" t="s">
        <v>26</v>
      </c>
      <c r="C37" s="8" t="s">
        <v>159</v>
      </c>
      <c r="D37" s="8" t="s">
        <v>245</v>
      </c>
      <c r="E37" s="8" t="s">
        <v>61</v>
      </c>
      <c r="F37" s="8" t="s">
        <v>246</v>
      </c>
      <c r="G37" s="8" t="s">
        <v>247</v>
      </c>
      <c r="H37" s="8" t="s">
        <v>248</v>
      </c>
      <c r="I37" s="8" t="s">
        <v>65</v>
      </c>
      <c r="J37" s="8" t="s">
        <v>34</v>
      </c>
      <c r="K37" s="8" t="s">
        <v>17</v>
      </c>
      <c r="L37" s="8" t="s">
        <v>18</v>
      </c>
      <c r="M37" s="8" t="s">
        <v>63</v>
      </c>
      <c r="N37" s="8" t="s">
        <v>219</v>
      </c>
    </row>
    <row r="38" spans="1:14" x14ac:dyDescent="0.25">
      <c r="A38" s="8" t="s">
        <v>249</v>
      </c>
      <c r="B38" s="8" t="s">
        <v>26</v>
      </c>
      <c r="C38" s="8" t="s">
        <v>159</v>
      </c>
      <c r="D38" s="8" t="s">
        <v>250</v>
      </c>
      <c r="E38" s="8" t="s">
        <v>61</v>
      </c>
      <c r="F38" s="8" t="s">
        <v>251</v>
      </c>
      <c r="G38" s="8" t="s">
        <v>252</v>
      </c>
      <c r="H38" s="8" t="s">
        <v>253</v>
      </c>
      <c r="I38" s="8" t="s">
        <v>65</v>
      </c>
      <c r="J38" s="8" t="s">
        <v>34</v>
      </c>
      <c r="K38" s="8" t="s">
        <v>17</v>
      </c>
      <c r="L38" s="8" t="s">
        <v>18</v>
      </c>
      <c r="M38" s="8" t="s">
        <v>63</v>
      </c>
      <c r="N38" s="8" t="s">
        <v>219</v>
      </c>
    </row>
    <row r="39" spans="1:14" x14ac:dyDescent="0.25">
      <c r="A39" s="8" t="s">
        <v>254</v>
      </c>
      <c r="B39" s="8" t="s">
        <v>26</v>
      </c>
      <c r="C39" s="8" t="s">
        <v>236</v>
      </c>
      <c r="D39" s="8" t="s">
        <v>255</v>
      </c>
      <c r="E39" s="8" t="s">
        <v>61</v>
      </c>
      <c r="F39" s="8" t="s">
        <v>256</v>
      </c>
      <c r="G39" s="8" t="s">
        <v>257</v>
      </c>
      <c r="H39" s="8" t="s">
        <v>258</v>
      </c>
      <c r="I39" s="8" t="s">
        <v>65</v>
      </c>
      <c r="J39" s="8" t="s">
        <v>34</v>
      </c>
      <c r="K39" s="8" t="s">
        <v>38</v>
      </c>
      <c r="L39" s="8" t="s">
        <v>18</v>
      </c>
      <c r="M39" s="8" t="s">
        <v>63</v>
      </c>
      <c r="N39" s="8" t="s">
        <v>219</v>
      </c>
    </row>
    <row r="40" spans="1:14" x14ac:dyDescent="0.25">
      <c r="A40" s="8" t="s">
        <v>259</v>
      </c>
      <c r="B40" s="8" t="s">
        <v>27</v>
      </c>
      <c r="C40" s="8" t="s">
        <v>236</v>
      </c>
      <c r="D40" s="8" t="s">
        <v>260</v>
      </c>
      <c r="E40" s="8" t="s">
        <v>61</v>
      </c>
      <c r="F40" s="8" t="s">
        <v>261</v>
      </c>
      <c r="G40" s="8" t="s">
        <v>262</v>
      </c>
      <c r="H40" s="8" t="s">
        <v>263</v>
      </c>
      <c r="I40" s="8" t="s">
        <v>264</v>
      </c>
      <c r="J40" s="8" t="s">
        <v>33</v>
      </c>
      <c r="K40" s="8" t="s">
        <v>17</v>
      </c>
      <c r="L40" s="8" t="s">
        <v>18</v>
      </c>
      <c r="M40" s="8" t="s">
        <v>63</v>
      </c>
      <c r="N40" s="8" t="s">
        <v>187</v>
      </c>
    </row>
    <row r="41" spans="1:14" x14ac:dyDescent="0.25">
      <c r="A41" s="8" t="s">
        <v>265</v>
      </c>
      <c r="B41" s="8" t="s">
        <v>27</v>
      </c>
      <c r="C41" s="8" t="s">
        <v>266</v>
      </c>
      <c r="D41" s="8" t="s">
        <v>267</v>
      </c>
      <c r="E41" s="8" t="s">
        <v>268</v>
      </c>
      <c r="F41" s="8" t="s">
        <v>269</v>
      </c>
      <c r="G41" s="8" t="s">
        <v>63</v>
      </c>
      <c r="H41" s="8" t="s">
        <v>270</v>
      </c>
      <c r="I41" s="8" t="s">
        <v>271</v>
      </c>
      <c r="J41" s="8" t="s">
        <v>36</v>
      </c>
      <c r="K41" s="8" t="s">
        <v>17</v>
      </c>
      <c r="L41" s="8" t="s">
        <v>18</v>
      </c>
      <c r="M41" s="8" t="s">
        <v>63</v>
      </c>
      <c r="N41" s="8" t="s">
        <v>187</v>
      </c>
    </row>
    <row r="42" spans="1:14" x14ac:dyDescent="0.25">
      <c r="A42" s="8" t="s">
        <v>272</v>
      </c>
      <c r="B42" s="8" t="s">
        <v>27</v>
      </c>
      <c r="C42" s="8" t="s">
        <v>231</v>
      </c>
      <c r="D42" s="8" t="s">
        <v>273</v>
      </c>
      <c r="E42" s="8" t="s">
        <v>274</v>
      </c>
      <c r="F42" s="8" t="s">
        <v>275</v>
      </c>
      <c r="G42" s="8" t="s">
        <v>276</v>
      </c>
      <c r="H42" s="8" t="s">
        <v>277</v>
      </c>
      <c r="I42" s="8" t="s">
        <v>65</v>
      </c>
      <c r="J42" s="8" t="s">
        <v>33</v>
      </c>
      <c r="K42" s="8" t="s">
        <v>17</v>
      </c>
      <c r="L42" s="8" t="s">
        <v>18</v>
      </c>
      <c r="M42" s="8" t="s">
        <v>63</v>
      </c>
      <c r="N42" s="8" t="s">
        <v>187</v>
      </c>
    </row>
    <row r="43" spans="1:14" x14ac:dyDescent="0.25">
      <c r="A43" s="8" t="s">
        <v>278</v>
      </c>
      <c r="B43" s="8" t="s">
        <v>28</v>
      </c>
      <c r="C43" s="8" t="s">
        <v>279</v>
      </c>
      <c r="D43" s="8" t="s">
        <v>280</v>
      </c>
      <c r="E43" s="8" t="s">
        <v>281</v>
      </c>
      <c r="F43" s="8" t="s">
        <v>282</v>
      </c>
      <c r="G43" s="8" t="s">
        <v>283</v>
      </c>
      <c r="H43" s="8" t="s">
        <v>284</v>
      </c>
      <c r="I43" s="8" t="s">
        <v>65</v>
      </c>
      <c r="J43" s="8" t="s">
        <v>36</v>
      </c>
      <c r="K43" s="8" t="s">
        <v>17</v>
      </c>
      <c r="L43" s="8" t="s">
        <v>18</v>
      </c>
      <c r="M43" s="8" t="s">
        <v>63</v>
      </c>
      <c r="N43" s="8" t="s">
        <v>285</v>
      </c>
    </row>
    <row r="44" spans="1:14" x14ac:dyDescent="0.25">
      <c r="A44" s="8" t="s">
        <v>286</v>
      </c>
      <c r="B44" s="8" t="s">
        <v>28</v>
      </c>
      <c r="C44" s="8" t="s">
        <v>31</v>
      </c>
      <c r="D44" s="8" t="s">
        <v>287</v>
      </c>
      <c r="E44" s="8" t="s">
        <v>288</v>
      </c>
      <c r="F44" s="8" t="s">
        <v>289</v>
      </c>
      <c r="G44" s="8" t="s">
        <v>63</v>
      </c>
      <c r="H44" s="8" t="s">
        <v>290</v>
      </c>
      <c r="I44" s="8" t="s">
        <v>65</v>
      </c>
      <c r="J44" s="8" t="s">
        <v>36</v>
      </c>
      <c r="K44" s="8" t="s">
        <v>17</v>
      </c>
      <c r="L44" s="8" t="s">
        <v>18</v>
      </c>
      <c r="M44" s="8" t="s">
        <v>63</v>
      </c>
      <c r="N44" s="8" t="s">
        <v>285</v>
      </c>
    </row>
    <row r="45" spans="1:14" x14ac:dyDescent="0.25">
      <c r="A45" s="8" t="s">
        <v>291</v>
      </c>
      <c r="B45" s="8" t="s">
        <v>28</v>
      </c>
      <c r="C45" s="8" t="s">
        <v>292</v>
      </c>
      <c r="D45" s="8" t="s">
        <v>293</v>
      </c>
      <c r="E45" s="8" t="s">
        <v>294</v>
      </c>
      <c r="F45" s="8" t="s">
        <v>295</v>
      </c>
      <c r="G45" s="8" t="s">
        <v>296</v>
      </c>
      <c r="H45" s="8" t="s">
        <v>297</v>
      </c>
      <c r="I45" s="8" t="s">
        <v>298</v>
      </c>
      <c r="J45" s="8" t="s">
        <v>36</v>
      </c>
      <c r="K45" s="8" t="s">
        <v>17</v>
      </c>
      <c r="L45" s="8" t="s">
        <v>42</v>
      </c>
      <c r="M45" s="8" t="s">
        <v>63</v>
      </c>
      <c r="N45" s="8" t="s">
        <v>299</v>
      </c>
    </row>
    <row r="46" spans="1:14" x14ac:dyDescent="0.25">
      <c r="A46" s="8" t="s">
        <v>300</v>
      </c>
      <c r="B46" s="8" t="s">
        <v>24</v>
      </c>
      <c r="C46" s="8" t="s">
        <v>301</v>
      </c>
      <c r="D46" s="8" t="s">
        <v>302</v>
      </c>
      <c r="E46" s="8" t="s">
        <v>303</v>
      </c>
      <c r="F46" s="8" t="s">
        <v>304</v>
      </c>
      <c r="G46" s="8" t="s">
        <v>63</v>
      </c>
      <c r="H46" s="8" t="s">
        <v>305</v>
      </c>
      <c r="I46" s="8" t="s">
        <v>306</v>
      </c>
      <c r="J46" s="8" t="s">
        <v>33</v>
      </c>
      <c r="K46" s="8" t="s">
        <v>38</v>
      </c>
      <c r="L46" s="8" t="s">
        <v>42</v>
      </c>
      <c r="M46" s="8" t="s">
        <v>63</v>
      </c>
      <c r="N46" s="8" t="s">
        <v>307</v>
      </c>
    </row>
  </sheetData>
  <autoFilter ref="A1:N1"/>
  <conditionalFormatting sqref="L2:L46">
    <cfRule type="containsText" dxfId="0" priority="1">
      <formula>NOT(ISERROR(SEARCH("Pass",L2)))</formula>
    </cfRule>
    <cfRule type="containsText" dxfId="1" priority="2">
      <formula>NOT(ISERROR(SEARCH("Fail",L2)))</formula>
    </cfRule>
    <cfRule type="containsText" dxfId="2" priority="3">
      <formula>NOT(ISERROR(SEARCH("Blocked",L2)))</formula>
    </cfRule>
  </conditionalFormatting>
  <dataValidations count="2">
    <dataValidation type="list" allowBlank="1" sqref="L10:L46">
      <formula1>"Not Started,Pass,Fail,Blocked,Not Applicable"</formula1>
    </dataValidation>
    <dataValidation type="list" allowBlank="1" sqref="L2:L46">
      <formula1>"Not Started,Pass,Fail,Blocked,Not Applicable"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60" customWidth="1"/>
    <col min="4" max="4" width="50" customWidth="1"/>
    <col min="5" max="5" width="12" customWidth="1"/>
    <col min="6" max="6" width="16" customWidth="1"/>
  </cols>
  <sheetData>
    <row r="1" ht="30" customHeight="1" spans="1:6" x14ac:dyDescent="0.25">
      <c r="A1" s="7" t="s">
        <v>308</v>
      </c>
      <c r="B1" s="7" t="s">
        <v>46</v>
      </c>
      <c r="C1" s="7" t="s">
        <v>309</v>
      </c>
      <c r="D1" s="7" t="s">
        <v>310</v>
      </c>
      <c r="E1" s="7" t="s">
        <v>311</v>
      </c>
      <c r="F1" s="7" t="s">
        <v>312</v>
      </c>
    </row>
    <row r="2" spans="1:6" x14ac:dyDescent="0.25">
      <c r="A2" s="8" t="s">
        <v>313</v>
      </c>
      <c r="B2" s="8" t="s">
        <v>23</v>
      </c>
      <c r="C2" s="8" t="s">
        <v>314</v>
      </c>
      <c r="D2" s="8" t="s">
        <v>315</v>
      </c>
      <c r="E2" s="8" t="s">
        <v>17</v>
      </c>
      <c r="F2" s="8" t="s">
        <v>188</v>
      </c>
    </row>
    <row r="3" spans="1:6" x14ac:dyDescent="0.25">
      <c r="A3" s="8" t="s">
        <v>316</v>
      </c>
      <c r="B3" s="8" t="s">
        <v>21</v>
      </c>
      <c r="C3" s="8" t="s">
        <v>317</v>
      </c>
      <c r="D3" s="8" t="s">
        <v>318</v>
      </c>
      <c r="E3" s="8" t="s">
        <v>39</v>
      </c>
      <c r="F3" s="8" t="s">
        <v>102</v>
      </c>
    </row>
    <row r="4" spans="1:6" x14ac:dyDescent="0.25">
      <c r="A4" s="8" t="s">
        <v>319</v>
      </c>
      <c r="B4" s="8" t="s">
        <v>22</v>
      </c>
      <c r="C4" s="8" t="s">
        <v>320</v>
      </c>
      <c r="D4" s="8" t="s">
        <v>321</v>
      </c>
      <c r="E4" s="8" t="s">
        <v>38</v>
      </c>
      <c r="F4" s="8" t="s">
        <v>152</v>
      </c>
    </row>
    <row r="5" spans="1:6" x14ac:dyDescent="0.25">
      <c r="A5" s="8" t="s">
        <v>322</v>
      </c>
      <c r="B5" s="8" t="s">
        <v>96</v>
      </c>
      <c r="C5" s="8" t="s">
        <v>323</v>
      </c>
      <c r="D5" s="8" t="s">
        <v>324</v>
      </c>
      <c r="E5" s="8" t="s">
        <v>39</v>
      </c>
      <c r="F5" s="8" t="s">
        <v>325</v>
      </c>
    </row>
    <row r="6" spans="1:6" x14ac:dyDescent="0.25">
      <c r="A6" s="8" t="s">
        <v>326</v>
      </c>
      <c r="B6" s="8" t="s">
        <v>23</v>
      </c>
      <c r="C6" s="8" t="s">
        <v>327</v>
      </c>
      <c r="D6" s="8" t="s">
        <v>328</v>
      </c>
      <c r="E6" s="8" t="s">
        <v>39</v>
      </c>
      <c r="F6" s="8" t="s">
        <v>181</v>
      </c>
    </row>
    <row r="7" spans="1:6" x14ac:dyDescent="0.25">
      <c r="A7" s="8" t="s">
        <v>329</v>
      </c>
      <c r="B7" s="8" t="s">
        <v>330</v>
      </c>
      <c r="C7" s="8" t="s">
        <v>331</v>
      </c>
      <c r="D7" s="8" t="s">
        <v>332</v>
      </c>
      <c r="E7" s="8" t="s">
        <v>333</v>
      </c>
      <c r="F7" s="8" t="s">
        <v>334</v>
      </c>
    </row>
    <row r="8" spans="1:6" x14ac:dyDescent="0.25">
      <c r="A8" s="8" t="s">
        <v>335</v>
      </c>
      <c r="B8" s="8" t="s">
        <v>23</v>
      </c>
      <c r="C8" s="8" t="s">
        <v>336</v>
      </c>
      <c r="D8" s="8" t="s">
        <v>337</v>
      </c>
      <c r="E8" s="8" t="s">
        <v>39</v>
      </c>
      <c r="F8" s="8" t="s">
        <v>170</v>
      </c>
    </row>
    <row r="9" spans="1:6" x14ac:dyDescent="0.25">
      <c r="A9" s="8" t="s">
        <v>338</v>
      </c>
      <c r="B9" s="8" t="s">
        <v>25</v>
      </c>
      <c r="C9" s="8" t="s">
        <v>339</v>
      </c>
      <c r="D9" s="8" t="s">
        <v>340</v>
      </c>
      <c r="E9" s="8" t="s">
        <v>39</v>
      </c>
      <c r="F9" s="8" t="s">
        <v>215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2026-10-22T20:18:14Z</dcterms:created>
  <dcterms:modified xsi:type="dcterms:W3CDTF">2026-10-22T20:18:14Z</dcterms:modified>
</cp:coreProperties>
</file>