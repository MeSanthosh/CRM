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Test Cases" state="visible" r:id="rId5"/>
    <sheet sheetId="3" name="Observations" state="visible" r:id="rId6"/>
  </sheets>
  <calcPr calcId="171027" fullCalcOnLoad="1"/>
</workbook>
</file>

<file path=xl/sharedStrings.xml><?xml version="1.0" encoding="utf-8"?>
<sst xmlns="http://schemas.openxmlformats.org/spreadsheetml/2006/main" count="1229" uniqueCount="523">
  <si>
    <t>Opportunities — Test Cases</t>
  </si>
  <si>
    <t>Page</t>
  </si>
  <si>
    <t>https://qa-crm.asquareab.com/opportunities (and Leads › Ready to Convert for conversion)</t>
  </si>
  <si>
    <t>Build</t>
  </si>
  <si>
    <t>v1.0 1910-49</t>
  </si>
  <si>
    <t>Source</t>
  </si>
  <si>
    <t>Use cases UC-OPP-001 … UC-OPP-012 in Asquare_CRM_Opportunities_Use_Cases.xlsx; each use case's "Related Test Case IDs" (OPP-001 … OPP-059) written out here. OPP-060 is extra (UC-OPP-003 "record missing").</t>
  </si>
  <si>
    <t>Explored on</t>
  </si>
  <si>
    <t>20/21-Oct-2026 (CRM Administrator, QA data)</t>
  </si>
  <si>
    <t>Scope</t>
  </si>
  <si>
    <t>Opportunities list, KPI cards, search, sort, paging, Board view and filters, Opportunity Detail, lead conversion, site visit / stage change, notes, Mark Lost, closed records, delete and access control</t>
  </si>
  <si>
    <t>How to use</t>
  </si>
  <si>
    <t>Fill "Status" (Not Started / Pass / Fail / Blocked / Not Applicable) and "Remarks" on the Test Cases sheet; the counts below update automatically.</t>
  </si>
  <si>
    <t>Automation</t>
  </si>
  <si>
    <t>Every test case is automated in tests/opportunities/ ("Automated in" column); test names, steps and expected results come from this sheet. Run: npm run test:opportunities. Tests on lifecycle.spec.ts change QA data: each run converts one Ready to Convert lead and marks the new opportunity Lost.</t>
  </si>
  <si>
    <t>Last run</t>
  </si>
  <si>
    <t>22-Oct-2026 12:05, build v1.0 1910-49 — automated (tests/opportunities): 71 passed, 6 failed, 2 blocked (skipped by design); OPP-039 then passed on three reruns after a test-timing fix, so of the 78 test cases 71 pass, 5 fail, 2 blocked. Defect report: reports/CRM_Defect_Report_2026-10-22_1205.xlsx</t>
  </si>
  <si>
    <t>By use case</t>
  </si>
  <si>
    <t>Test cases</t>
  </si>
  <si>
    <t>High</t>
  </si>
  <si>
    <t>Pass</t>
  </si>
  <si>
    <t>Fail</t>
  </si>
  <si>
    <t>UC-OPP-001 View Opportunities</t>
  </si>
  <si>
    <t>UC-OPP-002 Create Opportunity</t>
  </si>
  <si>
    <t>UC-OPP-003 View Opportunity Details</t>
  </si>
  <si>
    <t>UC-OPP-004 Edit Opportunity</t>
  </si>
  <si>
    <t>UC-OPP-005 Search Opportunity</t>
  </si>
  <si>
    <t>UC-OPP-006 Filter and Sort Opportunities</t>
  </si>
  <si>
    <t>UC-OPP-007 Change Opportunity Stage</t>
  </si>
  <si>
    <t>UC-OPP-008 Mark Opportunity as Won</t>
  </si>
  <si>
    <t>UC-OPP-009 Mark Opportunity as Lost</t>
  </si>
  <si>
    <t>UC-OPP-010 Convert Lead to Opportunity</t>
  </si>
  <si>
    <t>UC-OPP-011 Delete Opportunity</t>
  </si>
  <si>
    <t>UC-OPP-012 Validate Role-Based Access</t>
  </si>
  <si>
    <t>Test cases (each counted once)</t>
  </si>
  <si>
    <t>A test case linked to two use cases is counted under both above.</t>
  </si>
  <si>
    <t>By type</t>
  </si>
  <si>
    <t>Navigation</t>
  </si>
  <si>
    <t>UI</t>
  </si>
  <si>
    <t>Functional</t>
  </si>
  <si>
    <t>Negative</t>
  </si>
  <si>
    <t>Data</t>
  </si>
  <si>
    <t>Security</t>
  </si>
  <si>
    <t>By priority</t>
  </si>
  <si>
    <t>Medium</t>
  </si>
  <si>
    <t>Low</t>
  </si>
  <si>
    <t>Execution status</t>
  </si>
  <si>
    <t>Not Started</t>
  </si>
  <si>
    <t>Blocked</t>
  </si>
  <si>
    <t>Not Applicable</t>
  </si>
  <si>
    <t>Observations</t>
  </si>
  <si>
    <t>TC ID</t>
  </si>
  <si>
    <t>Use Case ID</t>
  </si>
  <si>
    <t>Use Case</t>
  </si>
  <si>
    <t>Test Case</t>
  </si>
  <si>
    <t>Preconditions</t>
  </si>
  <si>
    <t>Test Steps</t>
  </si>
  <si>
    <t>Test Data</t>
  </si>
  <si>
    <t>Expected Result</t>
  </si>
  <si>
    <t>Observed (21-Oct-2026 automated run, build v1.0 1910-49)</t>
  </si>
  <si>
    <t>Type</t>
  </si>
  <si>
    <t>Priority</t>
  </si>
  <si>
    <t>Status</t>
  </si>
  <si>
    <t>Remarks</t>
  </si>
  <si>
    <t>Automated in</t>
  </si>
  <si>
    <t>OPP-001</t>
  </si>
  <si>
    <t>UC-OPP-001</t>
  </si>
  <si>
    <t>View Opportunities</t>
  </si>
  <si>
    <t>Opportunities opens from the side menu</t>
  </si>
  <si>
    <t>Logged in as CRM Administrator</t>
  </si>
  <si>
    <t xml:space="preserve">1. Open Home / Dashboard (/)
2. Click "Opportunities" in the main menu</t>
  </si>
  <si>
    <t/>
  </si>
  <si>
    <t>URL is /opportunities; heading "Opportunities"; the Opportunities menu item is highlighted</t>
  </si>
  <si>
    <t>As expected</t>
  </si>
  <si>
    <t>tests/opportunities/view.spec.ts</t>
  </si>
  <si>
    <t>OPP-002</t>
  </si>
  <si>
    <t>List loads without errors and shows every column</t>
  </si>
  <si>
    <t xml:space="preserve">1. Open /opportunities
2. Look at the Pipeline list (List view)
3. Check the browser console and network log</t>
  </si>
  <si>
    <t>Columns Opportunity, Customer, Stage, Probability, Budget, Project, Created Date; every row shows an OPP-… number with its LD-… lead number, a customer and a probability in %; no JavaScript errors, failed API calls, NaN or undefined</t>
  </si>
  <si>
    <t>OPP-003</t>
  </si>
  <si>
    <t>KPI cards show loaded values</t>
  </si>
  <si>
    <t xml:space="preserve">1. Open /opportunities
2. Read the Total, Open, Pipeline Value and Avg Probability cards and the "All amounts in" label</t>
  </si>
  <si>
    <t>All four cards show a value (not blank or —); Pipeline Value is in the base currency named in "All amounts in"; Avg Probability ends in %</t>
  </si>
  <si>
    <t>OPP-004</t>
  </si>
  <si>
    <t>Total = Open + Won + Lost</t>
  </si>
  <si>
    <t xml:space="preserve">1. Open /opportunities; note Total and Open
2. Hover the "Formula" line of each card and note the counts in its tooltip
3. Switch to Board, choose "Won / Lost: all time" and note the Won and Lost column counts</t>
  </si>
  <si>
    <t>Total = Open + Won + Lost, and every count quoted in the KPI tooltips equals the card values</t>
  </si>
  <si>
    <t>Cards add up (47 + 79 + 9 = 135), but the tooltips are stale: "Open (43) + Won (78) + Lost (4)" = 125, and Pipeline Value / Avg Probability say "43 Open opportunities" while Open shows 47</t>
  </si>
  <si>
    <t>OPP-005</t>
  </si>
  <si>
    <t>Open, Pipeline Value and Avg Probability agree with the Board</t>
  </si>
  <si>
    <t xml:space="preserve">1. Open /opportunities; note Open, Pipeline Value and Avg Probability
2. Switch to Board
3. Read "Open pipeline: N deals · amount" and the counts of Qualified, Site Visit, Negotiation, Reservation Ready and Proposal
4. Average the probability tag of every open card</t>
  </si>
  <si>
    <t>Open = Board open-pipeline deals = sum of the open stage columns; Pipeline Value = Board pipeline amount; Avg Probability = mean probability of the open cards (±0.5)</t>
  </si>
  <si>
    <t>OPP-006</t>
  </si>
  <si>
    <t>Pagination covers every opportunity</t>
  </si>
  <si>
    <t xml:space="preserve">1. Open /opportunities; read "Showing 1–20 of N opportunities · Page 1 of M"
2. Click Next, then Previous
3. Sort Created Date oldest first and click Next until the last page, counting the rows</t>
  </si>
  <si>
    <t>N = Total card; Previous disabled on page 1; Next shows rows 21–40 (page 2); Previous returns to page 1; the last page ends at N and Next is disabled there; N rows in all, none listed twice</t>
  </si>
  <si>
    <t>OPP-007</t>
  </si>
  <si>
    <t>Board view shows one column per stage</t>
  </si>
  <si>
    <t xml:space="preserve">1. Open /opportunities
2. Click Board
3. Compare the columns with the configured opportunity stages (reference data OPPORTUNITY / STAGE)
4. Click List</t>
  </si>
  <si>
    <t>Board is pressed; columns Qualified, Site Visit, Negotiation, Reservation Ready, Proposal, Won, Lost; every configured stage except Open has a column; List brings the table back</t>
  </si>
  <si>
    <t>OPP-008</t>
  </si>
  <si>
    <t>Viewing does not change data</t>
  </si>
  <si>
    <t xml:space="preserve">1. Open /opportunities with the browser network log open
2. Sort by Budget
3. Open a record and close it
4. Switch to Board and back to List</t>
  </si>
  <si>
    <t>No create / update / delete request (POST, PUT, PATCH, DELETE) to opportunity, lead, visit, note, reservation, contract or unit-hold endpoints</t>
  </si>
  <si>
    <t>OPP-009</t>
  </si>
  <si>
    <t>UC-OPP-002</t>
  </si>
  <si>
    <t>Create Opportunity</t>
  </si>
  <si>
    <t>Converting a qualified lead creates an opportunity</t>
  </si>
  <si>
    <t>Logged in as CRM Administrator; a lead on Leads › Ready to Convert (picked by OPP-046)</t>
  </si>
  <si>
    <t xml:space="preserve">1. Open Leads, search the lead number and open it
2. Click "Move to Opportunity"
3. Click Convert
4. Click OK on the notice</t>
  </si>
  <si>
    <t>A Qualified lead picked at random from Ready to Convert page 1</t>
  </si>
  <si>
    <t>POST /leads/&lt;id&gt;/convert succeeds; notice "Lead Converted" names the customer; the Opportunity Detail of the new OPP-… number opens on /opportunities</t>
  </si>
  <si>
    <t>tests/opportunities/lifecycle.spec.ts</t>
  </si>
  <si>
    <t>OPP-010</t>
  </si>
  <si>
    <t>New opportunity is listed and searchable</t>
  </si>
  <si>
    <t>Logged in as CRM Administrator; the opportunity created by OPP-009 in this run</t>
  </si>
  <si>
    <t xml:space="preserve">1. Open /opportunities (newest first)
2. Look for the new OPP number on page 1
3. Search the OPP number</t>
  </si>
  <si>
    <t>OPP number from OPP-009</t>
  </si>
  <si>
    <t>The new opportunity is on page 1 and searching its number lists exactly that opportunity</t>
  </si>
  <si>
    <t>OPP-011</t>
  </si>
  <si>
    <t>Customer, budget and lead number carry over from the lead</t>
  </si>
  <si>
    <t xml:space="preserve">1. Note the lead's name, Budget and number in Lead Detail (before converting)
2. Open the new opportunity
3. Compare the detail header</t>
  </si>
  <si>
    <t>The opportunity shows the lead's customer name, budget and lead number</t>
  </si>
  <si>
    <t>OPP-012</t>
  </si>
  <si>
    <t>New opportunity starts at Qualified</t>
  </si>
  <si>
    <t xml:space="preserve">1. Open the new opportunity
2. Read the status, Probability and Workflow Status
3. Compare the probability with other Qualified rows on page 1 and the owner with the lead's Assigned user</t>
  </si>
  <si>
    <t>Stage Qualified, status OPEN, probability as configured for Qualified (same as other Qualified deals), owner = the lead's assignee; workflow shows Open Done, Qualified In progress, later steps Up next</t>
  </si>
  <si>
    <t>OPP-013</t>
  </si>
  <si>
    <t>Total and Open KPIs go up by one</t>
  </si>
  <si>
    <t xml:space="preserve">1. Before converting, note Total and Open on /opportunities
2. Convert the lead (OPP-009)
3. Open /opportunities again and read Total and Open</t>
  </si>
  <si>
    <t>Total and Open each increase by exactly 1</t>
  </si>
  <si>
    <t>OPP-014</t>
  </si>
  <si>
    <t>Board Qualified column takes the new deal</t>
  </si>
  <si>
    <t xml:space="preserve">1. Before converting, note the Board › Qualified count and value
2. Convert the lead (OPP-009)
3. Open the Board again</t>
  </si>
  <si>
    <t>Board › Qualified: count +1 and value + the opportunity's budget (within display rounding)</t>
  </si>
  <si>
    <t>OPP-015</t>
  </si>
  <si>
    <t>Board card shows the new opportunity</t>
  </si>
  <si>
    <t xml:space="preserve">1. Open /opportunities › Board
2. Find the card with the new OPP number in Qualified</t>
  </si>
  <si>
    <t>The card shows the customer, the lead's budget, a probability tag and the owner (the lead's assignee)</t>
  </si>
  <si>
    <t>OPP-016</t>
  </si>
  <si>
    <t>Only one opportunity is created per conversion</t>
  </si>
  <si>
    <t xml:space="preserve">1. Search the lead number on /opportunities
2. Run the same search through the API (GET /opportunities?search=&lt;lead number&gt;)</t>
  </si>
  <si>
    <t>Lead number from OPP-046</t>
  </si>
  <si>
    <t>Exactly one opportunity — the new one — for the lead</t>
  </si>
  <si>
    <t>OPP-017</t>
  </si>
  <si>
    <t>Lead link in the opportunity opens the source lead</t>
  </si>
  <si>
    <t xml:space="preserve">1. Open the new opportunity
2. Click the LEAD number in the header</t>
  </si>
  <si>
    <t>Lead Detail of that lead opens</t>
  </si>
  <si>
    <t>OPP-018</t>
  </si>
  <si>
    <t>A lead that is not qualified cannot be converted</t>
  </si>
  <si>
    <t xml:space="preserve">1. Open Leads › To Qualify
2. Open a lead whose status is not Qualified (e.g. Assigned)</t>
  </si>
  <si>
    <t>First lead on To Qualify that is not Qualified</t>
  </si>
  <si>
    <t>Lead Detail does not offer "Move to Opportunity"</t>
  </si>
  <si>
    <t>OPP-019</t>
  </si>
  <si>
    <t>UC-OPP-003</t>
  </si>
  <si>
    <t>View Opportunity Details</t>
  </si>
  <si>
    <t>Opening a record shows its details</t>
  </si>
  <si>
    <t xml:space="preserve">1. Open /opportunities
2. Click the first OPP number
3. Compare the detail header with the list row (and GET /opportunities/&lt;id&gt;)
4. Close the detail and open the second row</t>
  </si>
  <si>
    <t>Opportunity Detail shows the same number, customer, lead, stage, probability and budget as the row and the API record; opening it does not modify the record; the second record opens after closing the first</t>
  </si>
  <si>
    <t>OPP-020</t>
  </si>
  <si>
    <t>UC-OPP-004</t>
  </si>
  <si>
    <t>Edit Opportunity</t>
  </si>
  <si>
    <t>Opportunity fields can be edited</t>
  </si>
  <si>
    <t xml:space="preserve">1. Open an open opportunity
2. Look for an Edit action for Budget, Probability, Expected Close and Project
3. Change a value and save
4. Reopen the record</t>
  </si>
  <si>
    <t>Budget, probability, expected close and project can be edited, saved and are shown when the record is reopened</t>
  </si>
  <si>
    <t>Not testable: the app has no edit form; these fields change only through workflow actions (visits, negotiation, reservation)</t>
  </si>
  <si>
    <t>tests/opportunities/view.spec.ts (skipped)</t>
  </si>
  <si>
    <t>OPP-021</t>
  </si>
  <si>
    <t>Add Note saves a note on the opportunity</t>
  </si>
  <si>
    <t xml:space="preserve">1. Open the test opportunity
2. Type a note in Add Note › Note
3. Click Add Note</t>
  </si>
  <si>
    <t>"Automated test - Opportunities lifecycle note &lt;timestamp&gt;"</t>
  </si>
  <si>
    <t>The note appears under Notes; the stage does not change</t>
  </si>
  <si>
    <t>OPP-022</t>
  </si>
  <si>
    <t>An empty note is not saved</t>
  </si>
  <si>
    <t xml:space="preserve">1. Open the test opportunity
2. Leave Add Note › Note empty
3. Click Add Note</t>
  </si>
  <si>
    <t>Empty note</t>
  </si>
  <si>
    <t>No request is sent and the user is told a note is needed (message, notice or disabled button)</t>
  </si>
  <si>
    <t>OPP-023</t>
  </si>
  <si>
    <t>Visit date cannot be in the past</t>
  </si>
  <si>
    <t xml:space="preserve">1. Open the test opportunity (Qualified)
2. Click Visit Date in "Schedule Visit &amp; Continue"</t>
  </si>
  <si>
    <t>In the date picker every day before today is disabled and today can be picked</t>
  </si>
  <si>
    <t>OPP-024</t>
  </si>
  <si>
    <t>UC-OPP-003, UC-OPP-004</t>
  </si>
  <si>
    <t>View Opportunity Details / Edit Opportunity</t>
  </si>
  <si>
    <t>Record link (?selected=id) opens and keeps the record open</t>
  </si>
  <si>
    <t xml:space="preserve">1. Copy the link of a row (/opportunities?selected=&lt;id&gt;)
2. Open the link in the browser
3. Wait 3 seconds</t>
  </si>
  <si>
    <t>That opportunity's detail opens and stays open until closed</t>
  </si>
  <si>
    <t>OPP-025</t>
  </si>
  <si>
    <t>Saved changes persist after reopening</t>
  </si>
  <si>
    <t xml:space="preserve">1. Reload /opportunities
2. Open the test opportunity again
3. Look at Notes and Site Visits</t>
  </si>
  <si>
    <t>The note (OPP-021) and the site visit (OPP-038) are still shown</t>
  </si>
  <si>
    <t>OPP-026</t>
  </si>
  <si>
    <t>UC-OPP-004, UC-OPP-012</t>
  </si>
  <si>
    <t>Edit Opportunity / Validate Role-Based Access</t>
  </si>
  <si>
    <t>A closed opportunity offers no workflow actions</t>
  </si>
  <si>
    <t>Logged in as CRM Administrator; the test opportunity marked Lost by OPP-040</t>
  </si>
  <si>
    <t xml:space="preserve">1. Open the Lost opportunity
2. Review the action panels</t>
  </si>
  <si>
    <t>Lost reason / by / on shown read-only; "Marked Lost" disabled; no visit or stage actions; Unit Hold says "This opportunity is closed, so units cannot be held."</t>
  </si>
  <si>
    <t>OPP-027</t>
  </si>
  <si>
    <t>UC-OPP-005</t>
  </si>
  <si>
    <t>Search Opportunity</t>
  </si>
  <si>
    <t>Search by opportunity number</t>
  </si>
  <si>
    <t xml:space="preserve">1. Open /opportunities
2. Note the 4th row
3. Type its OPP number in "Search opportunity, customer, lead, project"</t>
  </si>
  <si>
    <t>OPP number of the 4th row</t>
  </si>
  <si>
    <t>Exactly the matching opportunity is listed, with the same values as before searching</t>
  </si>
  <si>
    <t>tests/opportunities/search-sort.spec.ts</t>
  </si>
  <si>
    <t>OPP-028</t>
  </si>
  <si>
    <t>Search by customer name and by lead number</t>
  </si>
  <si>
    <t xml:space="preserve">1. Open /opportunities
2. Search the customer name of the 2nd row
3. Search the lead number of the 2nd row</t>
  </si>
  <si>
    <t>Customer and LD number of the 2nd row</t>
  </si>
  <si>
    <t>Customer search: every row matches the term (number, lead, customer or project) and includes the 2nd row; lead search: only that lead's opportunity</t>
  </si>
  <si>
    <t>OPP-029</t>
  </si>
  <si>
    <t>Search with no match shows the empty state</t>
  </si>
  <si>
    <t xml:space="preserve">1. Open /opportunities
2. Search a term that matches nothing</t>
  </si>
  <si>
    <t>"zz-no-such-opportunity-&lt;timestamp&gt;"</t>
  </si>
  <si>
    <t>"No opportunities found." and Export disabled</t>
  </si>
  <si>
    <t>OPP-030</t>
  </si>
  <si>
    <t>Clearing the search restores the list</t>
  </si>
  <si>
    <t xml:space="preserve">1. Open /opportunities; note the total and page 1
2. Search the first row's customer
3. Click the clear (×) button in the search box</t>
  </si>
  <si>
    <t>Customer of the first row</t>
  </si>
  <si>
    <t>The search narrows the list; after clearing, the box is empty and the total and page 1 are as before</t>
  </si>
  <si>
    <t>OPP-031</t>
  </si>
  <si>
    <t>Search ignores letter case</t>
  </si>
  <si>
    <t xml:space="preserve">1. Open /opportunities
2. Search a mixed-case customer name as shown, in UPPER CASE and in lower case</t>
  </si>
  <si>
    <t>A customer name from page 1</t>
  </si>
  <si>
    <t>All three searches return the same opportunities</t>
  </si>
  <si>
    <t>OPP-032</t>
  </si>
  <si>
    <t>UC-OPP-006</t>
  </si>
  <si>
    <t>Filter and Sort Opportunities</t>
  </si>
  <si>
    <t>Sort by Budget</t>
  </si>
  <si>
    <t xml:space="preserve">1. Open /opportunities
2. Click the Budget header until it sorts ascending; check page 1 and the first rows of page 2
3. Repeat for descending</t>
  </si>
  <si>
    <t>Budget sorts ascending and descending by the amount shown, the header shows the direction, and the order continues across pages</t>
  </si>
  <si>
    <t>Not in shown-amount order: ascending lists "1M USD" before "7,738.14 USD" — the sort seems to use the unconverted budget, not the USD amount shown</t>
  </si>
  <si>
    <t>OPP-033</t>
  </si>
  <si>
    <t>Sort by Created Date</t>
  </si>
  <si>
    <t xml:space="preserve">1. Open /opportunities
2. Check the default order
3. Click the Created Date header until it sorts ascending</t>
  </si>
  <si>
    <t>Default is newest first (Created Date ▼); ascending gives oldest first</t>
  </si>
  <si>
    <t>OPP-034</t>
  </si>
  <si>
    <t>Sort by Probability and Customer</t>
  </si>
  <si>
    <t xml:space="preserve">1. Open /opportunities
2. Sort Probability ascending, then descending
3. Sort Customer ascending, then descending</t>
  </si>
  <si>
    <t>Probability sorts numerically and Customer alphabetically (letters and digits; spaces and punctuation ignored, as the database does), both directions</t>
  </si>
  <si>
    <t>OPP-035</t>
  </si>
  <si>
    <t>Board Owner filter</t>
  </si>
  <si>
    <t xml:space="preserve">1. Open /opportunities › Board; note the column counts
2. Choose each owner in turn (up to two with deals)
3. Choose "All owners"</t>
  </si>
  <si>
    <t>Owners listed in the Owner filter</t>
  </si>
  <si>
    <t>Only that owner's cards are shown and no column count rises; "All owners" gives the same board as a freshly loaded one</t>
  </si>
  <si>
    <t>OPP-036</t>
  </si>
  <si>
    <t>Board Project filter</t>
  </si>
  <si>
    <t xml:space="preserve">1. Open /opportunities › Board; note the column counts
2. Choose a project that has deals
3. Check each card's project (opportunity record)
4. Choose "All projects"</t>
  </si>
  <si>
    <t>Projects listed in the Project filter</t>
  </si>
  <si>
    <t>Only cards of that project are shown and no column count rises; "All projects" gives the same board as a freshly loaded one</t>
  </si>
  <si>
    <t>OPP-037</t>
  </si>
  <si>
    <t>Board closed-deals window</t>
  </si>
  <si>
    <t xml:space="preserve">1. Open /opportunities › Board
2. Choose Won / Lost: last 30 days, last 90 days, this year and all time in turn
3. Note the Won, Lost and open column counts each time</t>
  </si>
  <si>
    <t>Won/Lost counts never shrink from 30 days → 90 days → all time, and this year ≤ all time; open columns do not change</t>
  </si>
  <si>
    <t>OPP-038</t>
  </si>
  <si>
    <t>UC-OPP-007</t>
  </si>
  <si>
    <t>Change Opportunity Stage</t>
  </si>
  <si>
    <t>Scheduling the first visit moves Qualified → Site Visit</t>
  </si>
  <si>
    <t>Logged in as CRM Administrator; the test opportunity at Qualified</t>
  </si>
  <si>
    <t xml:space="preserve">1. Open the test opportunity
2. Visit Type: Virtual
3. Visit Date: next month, the 15th, time 11:00, click Set
4. Enter Visit Remarks
5. Click "Schedule Visit &amp; Continue", then OK
6. Reload; check the list row, the detail and the Site Visits section</t>
  </si>
  <si>
    <t>Virtual; 15th of next month 11:00; remarks "Automated test - Opportunities lifecycle"</t>
  </si>
  <si>
    <t>Notice "Site Visit Saved"; stage Site Visit in the detail, the list and the API; probability rises; the visit is listed as "Virtual · Scheduled" with the chosen date and time 11:00</t>
  </si>
  <si>
    <t>Stage moves to Site Visit as expected, but the picked time 11:00 is shown as "15 Nov 2026, 22:30" (saved as 17:00 UTC; browser on India time)</t>
  </si>
  <si>
    <t>OPP-039</t>
  </si>
  <si>
    <t>UC-OPP-008</t>
  </si>
  <si>
    <t>Mark Opportunity as Won</t>
  </si>
  <si>
    <t>A Won opportunity is recorded as Won</t>
  </si>
  <si>
    <t xml:space="preserve">1. Open /opportunities
2. Open the first opportunity whose stage is Won
3. Review the status, probability, workflow and action panels</t>
  </si>
  <si>
    <t>First Won opportunity in the list</t>
  </si>
  <si>
    <t>Status Won (API status WON), probability 100%, every workflow step Done, no stage-advancing actions</t>
  </si>
  <si>
    <t>As expected. Observation: the Won record still offers "Mark Lost" (see OBS-06)</t>
  </si>
  <si>
    <t>OPP-040</t>
  </si>
  <si>
    <t>UC-OPP-009</t>
  </si>
  <si>
    <t>Mark Opportunity as Lost</t>
  </si>
  <si>
    <t>Mark Lost requires a reason, can be cancelled, and records the loss</t>
  </si>
  <si>
    <t>Logged in as CRM Administrator; the test opportunity at Site Visit</t>
  </si>
  <si>
    <t xml:space="preserve">1. Note Open on /opportunities; open the test opportunity
2. Mark Lost with no reason
3. Choose a reason and remarks, click Mark Lost, then Go back
4. Click Mark Lost again, then Confirm, then OK
5. Close the detail; reload the list</t>
  </si>
  <si>
    <t>Lost Reason "No Decision"; remarks "Automated test - Opportunities lifecycle"</t>
  </si>
  <si>
    <t>No reason → "Required Fields Missing • Lost Reason"; Go back sends nothing and the deal stays open; Confirm → notice "Opportunity Lost", status Lost, probability 0%, reason / remarks / marked-lost-by shown, list row Lost, Open card −1</t>
  </si>
  <si>
    <t>OPP-041</t>
  </si>
  <si>
    <t>UC-OPP-008, UC-OPP-009</t>
  </si>
  <si>
    <t>Mark Opportunity as Won / Mark Opportunity as Lost</t>
  </si>
  <si>
    <t>A closed opportunity cannot change stage again</t>
  </si>
  <si>
    <t xml:space="preserve">1. Open /opportunities › Board; expand Won and Lost ("Show")
2. Check the cards for a "Move / mark Lost" menu
3. Send POST /opportunities/&lt;id&gt;/stage moving the Lost opportunity back to Qualified</t>
  </si>
  <si>
    <t>Stage ref id of Qualified</t>
  </si>
  <si>
    <t>Lost cards have no move menu, and the backend refuses the stage change (4xx); the opportunity stays Lost</t>
  </si>
  <si>
    <t>As expected for Lost. Observation: Won cards still offer moves (see OBS-06)</t>
  </si>
  <si>
    <t>OPP-042</t>
  </si>
  <si>
    <t>Visit without a date is rejected</t>
  </si>
  <si>
    <t xml:space="preserve">1. Open the test opportunity
2. Click "Schedule Visit &amp; Continue" without choosing a Visit Date</t>
  </si>
  <si>
    <t>Visit Date empty</t>
  </si>
  <si>
    <t>"Select a visit date and time." and no request is sent</t>
  </si>
  <si>
    <t>OPP-043</t>
  </si>
  <si>
    <t>Board only offers moves the workflow allows</t>
  </si>
  <si>
    <t xml:space="preserve">1. Open /opportunities › Board
2. Open the "Move / mark Lost…" menu on the test opportunity's card
3. Choose an option marked "(not from board)" if it can be chosen</t>
  </si>
  <si>
    <t>Moves marked "(not from board)" are disabled, and choosing one does not change the stage</t>
  </si>
  <si>
    <t>The "(not from board)" options (Qualified, Negotiation, Reservation Ready, Proposal, Won) can be selected; choosing one did not change the stage</t>
  </si>
  <si>
    <t>OPP-044</t>
  </si>
  <si>
    <t>Backend rejects a prohibited stage change</t>
  </si>
  <si>
    <t xml:space="preserve">1. Send POST /opportunities/&lt;id&gt;/stage with the Won stage, probability 100
2. Read the opportunity again</t>
  </si>
  <si>
    <t>Stage ref id of Won</t>
  </si>
  <si>
    <t>The backend refuses the change (4xx) and the stage stays Site Visit</t>
  </si>
  <si>
    <t>OPP-045</t>
  </si>
  <si>
    <t>Workflow and stage history follow the stage</t>
  </si>
  <si>
    <t xml:space="preserve">1. Open the test opportunity
2. Read Workflow Status
3. Read the stage history (GET /opportunities/&lt;id&gt;)</t>
  </si>
  <si>
    <t>Open and Qualified Done, Site Visit In progress, later steps Up next; stage history lists Qualified then Site Visit</t>
  </si>
  <si>
    <t>OPP-046</t>
  </si>
  <si>
    <t>UC-OPP-010</t>
  </si>
  <si>
    <t>Convert Lead to Opportunity</t>
  </si>
  <si>
    <t>Ready to Convert lists only qualified leads</t>
  </si>
  <si>
    <t xml:space="preserve">1. Open Leads
2. Click the "Ready to Convert" tab
3. Check every lead's status and compare the tab count with the pager total</t>
  </si>
  <si>
    <t>Every lead on the tab has status Qualified, and the tab count equals the list total</t>
  </si>
  <si>
    <t>OPP-047</t>
  </si>
  <si>
    <t>Move to Opportunity asks for confirmation</t>
  </si>
  <si>
    <t>Logged in as CRM Administrator; the lead picked by OPP-046</t>
  </si>
  <si>
    <t xml:space="preserve">1. Open the lead
2. Click "Move to Opportunity"</t>
  </si>
  <si>
    <t>A "Convert lead to opportunity?" dialog names the lead and offers Go back and Convert</t>
  </si>
  <si>
    <t>OPP-048</t>
  </si>
  <si>
    <t>Go back cancels the conversion</t>
  </si>
  <si>
    <t xml:space="preserve">1. Open the lead
2. Click "Move to Opportunity"
3. Click Go back</t>
  </si>
  <si>
    <t>The dialog closes, no request is sent, the lead stays Qualified and "Move to Opportunity" is still offered</t>
  </si>
  <si>
    <t>OPP-049</t>
  </si>
  <si>
    <t>Converted lead is closed as Converted</t>
  </si>
  <si>
    <t>Logged in as CRM Administrator; the lead converted by OPP-009</t>
  </si>
  <si>
    <t xml:space="preserve">1. Open the converted lead
2. Read its status and Status History</t>
  </si>
  <si>
    <t>Lead status Converted; Status History shows "Qualified → Converted"</t>
  </si>
  <si>
    <t>OPP-050</t>
  </si>
  <si>
    <t>Ready to Convert count goes down by one</t>
  </si>
  <si>
    <t xml:space="preserve">1. Before converting, note the Ready to Convert tab count
2. Convert the lead (OPP-009)
3. Open Leads again and read the count</t>
  </si>
  <si>
    <t>The Ready to Convert count decreases by exactly 1</t>
  </si>
  <si>
    <t>OPP-051</t>
  </si>
  <si>
    <t>Converted lead links to its opportunity</t>
  </si>
  <si>
    <t xml:space="preserve">1. Open the converted lead
2. Read the OPPORTUNITIES field and the action panel</t>
  </si>
  <si>
    <t>The lead shows the new OPP number under Opportunities and no longer offers "Move to Opportunity"</t>
  </si>
  <si>
    <t>OPP-052</t>
  </si>
  <si>
    <t>Converting the same lead again is refused</t>
  </si>
  <si>
    <t xml:space="preserve">1. Send POST /leads/&lt;id&gt;/convert again for the converted lead
2. Search opportunities by the lead number</t>
  </si>
  <si>
    <t>probabilityPercent 35, remarks "… (repeat conversion)"</t>
  </si>
  <si>
    <t>Refused (4xx), or answered with the existing opportunity; either way there is still exactly one opportunity for the lead</t>
  </si>
  <si>
    <t>Pass: the API answers 201 with the existing opportunity (no duplicate created) — see OBS-10</t>
  </si>
  <si>
    <t>OPP-053</t>
  </si>
  <si>
    <t>Conversion is traceable on both records</t>
  </si>
  <si>
    <t>Logged in as CRM Administrator; the opportunity created by OPP-009</t>
  </si>
  <si>
    <t xml:space="preserve">1. Read the opportunity (GET /opportunities/&lt;id&gt;)
2. Compare its first stage-history entry with Created by / Created at and the lead reference</t>
  </si>
  <si>
    <t>The first stage is Qualified, set by the converting user at creation time (within a minute); the lead reference is the converted lead</t>
  </si>
  <si>
    <t>OPP-054</t>
  </si>
  <si>
    <t>UC-OPP-011</t>
  </si>
  <si>
    <t>Delete Opportunity</t>
  </si>
  <si>
    <t>Delete is not offered in the UI</t>
  </si>
  <si>
    <t xml:space="preserve">1. Open /opportunities and look for a Delete / Remove / Archive / Deactivate action
2. Open a record and look again
3. Open the Board and check a card's move menu</t>
  </si>
  <si>
    <t>List, board and detail have no Delete action (policy to confirm: closing as Lost replaces deletion — see OBS-09)</t>
  </si>
  <si>
    <t>OPP-055</t>
  </si>
  <si>
    <t>Backend does not delete an opportunity</t>
  </si>
  <si>
    <t xml:space="preserve">1. Send DELETE /opportunities/&lt;id&gt; with a valid login
2. Read the opportunity again</t>
  </si>
  <si>
    <t>The DELETE is refused (4xx) and the record is still returned and active</t>
  </si>
  <si>
    <t>OPP-056</t>
  </si>
  <si>
    <t>A closed (Lost) opportunity stays on record</t>
  </si>
  <si>
    <t xml:space="preserve">1. Search the OPP number on /opportunities
2. Open it</t>
  </si>
  <si>
    <t>The Lost opportunity is still listed (stage Lost), searchable and opens as Lost</t>
  </si>
  <si>
    <t>OPP-057</t>
  </si>
  <si>
    <t>UC-OPP-011, UC-OPP-012</t>
  </si>
  <si>
    <t>Delete Opportunity / Validate Role-Based Access</t>
  </si>
  <si>
    <t>Backend rejects requests without a valid login</t>
  </si>
  <si>
    <t>None (requests sent without a login)</t>
  </si>
  <si>
    <t xml:space="preserve">1. Send GET /opportunities, GET /opportunities/&lt;id&gt;, DELETE /opportunities/&lt;id&gt; and POST /opportunities/&lt;id&gt;/stage without a token
2. Repeat GET and DELETE with an invalid token</t>
  </si>
  <si>
    <t>Record id 00000000-0000-0000-0000-000000000000 (matches nothing)</t>
  </si>
  <si>
    <t>Every call returns 401</t>
  </si>
  <si>
    <t>tests/opportunities/access.spec.ts</t>
  </si>
  <si>
    <t>OPP-058</t>
  </si>
  <si>
    <t>UC-OPP-012</t>
  </si>
  <si>
    <t>Validate Role-Based Access</t>
  </si>
  <si>
    <t>Signed-out user is sent to the login page</t>
  </si>
  <si>
    <t>Not logged in (new browser session)</t>
  </si>
  <si>
    <t>1. Open /opportunities</t>
  </si>
  <si>
    <t>Redirected to /login; no opportunity data shown</t>
  </si>
  <si>
    <t>OPP-059</t>
  </si>
  <si>
    <t>Each role sees only permitted records and actions</t>
  </si>
  <si>
    <t>Test accounts for each role (e.g. Sales Executive, Sales Manager, Lead Reviewer)</t>
  </si>
  <si>
    <t xml:space="preserve">1. Log in as each role
2. Open /opportunities and compare the records listed
3. Try an action the role may not perform, in the UI and through the API</t>
  </si>
  <si>
    <t>One account per role</t>
  </si>
  <si>
    <t>Sales users see only their records; restricted actions are hidden or disabled and refused by the backend</t>
  </si>
  <si>
    <t>Not testable yet: only the CRM Administrator login is configured</t>
  </si>
  <si>
    <t>tests/opportunities/access.spec.ts (skipped)</t>
  </si>
  <si>
    <t>OPP-060</t>
  </si>
  <si>
    <t>Link to a missing opportunity shows a message</t>
  </si>
  <si>
    <t>1. Open /opportunities?selected=&lt;id that does not exist&gt;</t>
  </si>
  <si>
    <t>00000000-0000-0000-0000-000000000000</t>
  </si>
  <si>
    <t>A message says the opportunity was not found (no endless loading, no silent close)</t>
  </si>
  <si>
    <t>The detail window opens on "Loading opportunity details..." and closes after about a second with no message</t>
  </si>
  <si>
    <t>OPP-061</t>
  </si>
  <si>
    <t>Board view shows its toolbar, hint and stage columns</t>
  </si>
  <si>
    <t xml:space="preserve">1. Open /opportunities
2. Click Board</t>
  </si>
  <si>
    <t>Filters "All owners", "All projects", "Won / Lost: last 30 days"; the summary "Open pipeline: N deals · amount · weighted amount"; the hint "Drag a card or use "Move / mark Lost…"…"; columns Qualified, Site Visit, Negotiation, Reservation Ready, Proposal, Won, Lost; Search and Export stay available</t>
  </si>
  <si>
    <t>tests/opportunities/board.spec.ts</t>
  </si>
  <si>
    <t>OPP-062</t>
  </si>
  <si>
    <t>Board column headers add up their cards</t>
  </si>
  <si>
    <t xml:space="preserve">1. Open the Board
2. For each open stage read the count, value and "Weighted" value
3. Add up the cards of that column (value, and value × probability)</t>
  </si>
  <si>
    <t>Count = number of cards; value = sum of the card values; weighted = sum of value × probability (each within display rounding)</t>
  </si>
  <si>
    <t>OPP-063</t>
  </si>
  <si>
    <t>Board summary equals the open columns</t>
  </si>
  <si>
    <t xml:space="preserve">1. Open the Board
2. Read "Open pipeline: N deals · amount · weighted amount"
3. Add up the open stage columns</t>
  </si>
  <si>
    <t>Deals = sum of the open column counts; amount = sum of their values; weighted = sum of their weighted values (within rounding)</t>
  </si>
  <si>
    <t>OPP-064</t>
  </si>
  <si>
    <t>Board cards show the deal at a glance</t>
  </si>
  <si>
    <t xml:space="preserve">1. Open the Board
2. Look at the cards of the open stages</t>
  </si>
  <si>
    <t>Every card shows customer, budget, OPP number, probability (%), "Nd in stage", owner and a "Move / mark Lost…" menu</t>
  </si>
  <si>
    <t>OPP-065</t>
  </si>
  <si>
    <t>Board cards match the List</t>
  </si>
  <si>
    <t xml:space="preserve">1. Open the Board; note up to 3 cards of each open stage
2. Search each OPP number in the List view</t>
  </si>
  <si>
    <t>Up to 3 cards per open stage</t>
  </si>
  <si>
    <t>Customer, budget and probability are the same as the List row, and the card sits in the column of the row's stage</t>
  </si>
  <si>
    <t>OPP-066</t>
  </si>
  <si>
    <t>"Days in stage" and the stale highlight</t>
  </si>
  <si>
    <t xml:space="preserve">1. Open the Board
2. For up to 5 cards compare "Nd in stage" with the last stage change (stage history)
3. Compare highlighted (red) and plain "in stage" tags</t>
  </si>
  <si>
    <t>"Nd in stage" = whole days since the last stage change (±1); every highlighted card has been in its stage longer than every plain one</t>
  </si>
  <si>
    <t>OPP-067</t>
  </si>
  <si>
    <t>"Reserved" tag shows deals with an active reservation</t>
  </si>
  <si>
    <t xml:space="preserve">1. Open the Board
2. For up to 5 cards with "Reserved" and up to 5 without it in Reservation Ready, check the opportunity's reservations</t>
  </si>
  <si>
    <t>"Reserved" cards have a Requested or Approved reservation; cards without the tag have none</t>
  </si>
  <si>
    <t>OPP-068</t>
  </si>
  <si>
    <t>Opening a card shows the opportunity</t>
  </si>
  <si>
    <t xml:space="preserve">1. Open the Board
2. Click a card
3. Close the detail, focus the card and press Enter</t>
  </si>
  <si>
    <t>First card in Qualified</t>
  </si>
  <si>
    <t>Both open the Opportunity Detail of that card's opportunity</t>
  </si>
  <si>
    <t>OPP-069</t>
  </si>
  <si>
    <t>Search filters the Board</t>
  </si>
  <si>
    <t xml:space="preserve">1. Open the Board
2. Search a customer name
3. Clear the search</t>
  </si>
  <si>
    <t>Customer of a Reservation Ready card</t>
  </si>
  <si>
    <t>Only that customer's cards remain; column counts and the summary follow the search; clearing it restores the board</t>
  </si>
  <si>
    <t>OPP-070</t>
  </si>
  <si>
    <t>Export from the Board follows the search</t>
  </si>
  <si>
    <t xml:space="preserve">1. Open the Board
2. Search a customer name
3. Click Export</t>
  </si>
  <si>
    <t>A file "opportunities-&lt;today&gt;.xlsx" downloads with the opportunity columns (Opportunity No, Customer, Lead No, Stage, Status, …) holding exactly the opportunities the search finds</t>
  </si>
  <si>
    <t>OPP-071</t>
  </si>
  <si>
    <t>Won and Lost columns open and close</t>
  </si>
  <si>
    <t xml:space="preserve">1. Open the Board
2. Look at Won and Lost
3. Click Show, then Hide
4. Choose "Won / Lost: last 90 days"</t>
  </si>
  <si>
    <t>Won and Lost say "Closed last 30 days"; a collapsed column offers Show and lists no cards, Show lists its cards (as many as the count, up to 50) and turns into Hide, Hide collapses it again (the choice is remembered per user); the header follows the window ("Closed last 90 days")</t>
  </si>
  <si>
    <t>OPP-072</t>
  </si>
  <si>
    <t>Card menu lists the possible moves</t>
  </si>
  <si>
    <t xml:space="preserve">1. Open the Board
2. Open the "Move / mark Lost…" menu of cards in each open stage</t>
  </si>
  <si>
    <t>First card of each open stage</t>
  </si>
  <si>
    <t>The menu never offers the card's own stage; it always offers Lost; Won is marked "(not from board)"</t>
  </si>
  <si>
    <t>OPP-073</t>
  </si>
  <si>
    <t>Mark as Lost from a card can be cancelled</t>
  </si>
  <si>
    <t xml:space="preserve">1. Open the Board
2. Choose "Lost" in a card's menu
3. Look at the dialog, then click Cancel</t>
  </si>
  <si>
    <t>Dialog "Mark as Lost" with Lost Reason (Price, Funding Issue, Competitor, No Decision, Timing), Remarks, Cancel and Continue; Cancel closes it, sends nothing and leaves the card in its column</t>
  </si>
  <si>
    <t>OPP-074</t>
  </si>
  <si>
    <t>A newly converted opportunity appears on the Board</t>
  </si>
  <si>
    <t>Logged in as CRM Administrator; a lead on Leads › Ready to Convert</t>
  </si>
  <si>
    <t xml:space="preserve">1. Note the Qualified count on the Board
2. Convert a Ready to Convert lead (Move to Opportunity › Convert)
3. Open the Board</t>
  </si>
  <si>
    <t>A Qualified lead picked at random</t>
  </si>
  <si>
    <t>The new card is in Qualified with "35%" (or the configured probability), "0d in stage" and the lead's owner; Qualified count +1</t>
  </si>
  <si>
    <t>OPP-075</t>
  </si>
  <si>
    <t>Dragging a card to a stage the workflow does not allow is refused</t>
  </si>
  <si>
    <t>Logged in as CRM Administrator; the board test opportunity (Qualified) from OPP-074</t>
  </si>
  <si>
    <t xml:space="preserve">1. Open the Board
2. Drag the test card from Qualified onto Negotiation</t>
  </si>
  <si>
    <t>Message "Can't move to Negotiation — Complete a site visit with outcome notes to move to Negotiation." with Close and Open opportunity; the stage stays Qualified and the card stays in Qualified</t>
  </si>
  <si>
    <t>OPP-076</t>
  </si>
  <si>
    <t>Dropping a card on Lost asks for the loss details</t>
  </si>
  <si>
    <t xml:space="preserve">1. Open the Board
2. Drag the test card onto the Lost column
3. Click Cancel</t>
  </si>
  <si>
    <t>The "Mark as Lost" dialog opens; Cancel leaves the opportunity Qualified</t>
  </si>
  <si>
    <t>OPP-077</t>
  </si>
  <si>
    <t>Mark as Lost from the Board needs a reason</t>
  </si>
  <si>
    <t xml:space="preserve">1. Choose "Lost" in the test card's menu
2. Click Continue without a Lost Reason</t>
  </si>
  <si>
    <t>Lost Reason empty</t>
  </si>
  <si>
    <t>"Required Fields Missing — Lost Reason"; nothing is saved and the stage stays Qualified</t>
  </si>
  <si>
    <t>OPP-078</t>
  </si>
  <si>
    <t>Mark as Lost from the Board</t>
  </si>
  <si>
    <t xml:space="preserve">1. Choose "Lost" in the test card's menu
2. Lost Reason "Timing", Remarks; click Continue
3. Click Go back, then repeat and click Confirm, then OK
4. Look at Qualified and Lost (Show)</t>
  </si>
  <si>
    <t>Reason "Timing"; remarks "Automated test - Board mark Lost"</t>
  </si>
  <si>
    <t>"Mark deal as Lost?" (Go back changes nothing); Confirm → "Opportunity Lost"; the card leaves Qualified and is listed under Lost; Qualified −1 and Lost +1; the opportunity is Lost with reason Timing</t>
  </si>
  <si>
    <t>Obs ID</t>
  </si>
  <si>
    <t>Area</t>
  </si>
  <si>
    <t>Observation</t>
  </si>
  <si>
    <t>Expected / Question</t>
  </si>
  <si>
    <t>Suggested severity</t>
  </si>
  <si>
    <t>Related TC</t>
  </si>
  <si>
    <t>OBS-01</t>
  </si>
  <si>
    <t>KPI cards</t>
  </si>
  <si>
    <t>The KPI tooltips quote stale counts: Total "Open (43) + Won (78) + Lost (4)" = 125 while the cards show 135; Pipeline Value and Avg Probability say 43 open deals while Open shows 47.</t>
  </si>
  <si>
    <t>Tooltip counts should be computed from the same data as the cards.</t>
  </si>
  <si>
    <t>OBS-02</t>
  </si>
  <si>
    <t>Sort</t>
  </si>
  <si>
    <t>Sorting by Budget does not follow the USD amounts shown ("1M USD" before "7,738.14 USD" ascending).</t>
  </si>
  <si>
    <t>Sort by the amount converted to the base currency, as shown.</t>
  </si>
  <si>
    <t>OBS-03</t>
  </si>
  <si>
    <t>Site visit</t>
  </si>
  <si>
    <t>A visit time picked as 11:00 is shown as 22:30 (saved as 17:00 UTC; browser on India time).</t>
  </si>
  <si>
    <t>The picked time should be shown back as picked; confirm which time zone visits use.</t>
  </si>
  <si>
    <t>OBS-04</t>
  </si>
  <si>
    <t>Board</t>
  </si>
  <si>
    <t>Moves marked "(not from board)" can still be selected in a card's menu (choosing one does not change the stage).</t>
  </si>
  <si>
    <t>Disable those options so only allowed moves can be chosen.</t>
  </si>
  <si>
    <t>OBS-05</t>
  </si>
  <si>
    <t>Detail</t>
  </si>
  <si>
    <t>A link to an opportunity that does not exist opens the detail, shows "Loading…" and closes silently.</t>
  </si>
  <si>
    <t>Tell the user the opportunity was not found or is not accessible.</t>
  </si>
  <si>
    <t>OBS-06</t>
  </si>
  <si>
    <t>Won</t>
  </si>
  <si>
    <t>A Won opportunity still offers "Mark Lost" in its detail, and Won cards on the Board still have a move menu.</t>
  </si>
  <si>
    <t>Question: may a Won deal still be marked Lost? If not, hide the action and refuse it in the backend.</t>
  </si>
  <si>
    <t>Question</t>
  </si>
  <si>
    <t>OPP-039, OPP-041</t>
  </si>
  <si>
    <t>OBS-07</t>
  </si>
  <si>
    <t>Create</t>
  </si>
  <si>
    <t>There is no "Add Opportunity" form: opportunities are created only by converting a Qualified lead (Leads › Move to Opportunity).</t>
  </si>
  <si>
    <t>Confirm this is intended; UC-OPP-002 is tested through lead conversion.</t>
  </si>
  <si>
    <t>Info</t>
  </si>
  <si>
    <t>OPP-009 … OPP-018</t>
  </si>
  <si>
    <t>OBS-08</t>
  </si>
  <si>
    <t>Edit</t>
  </si>
  <si>
    <t>There is no edit form for budget, probability, expected close or project; they change only through workflow actions.</t>
  </si>
  <si>
    <t>Confirm whether direct editing (UC-OPP-004) is in scope.</t>
  </si>
  <si>
    <t>OBS-09</t>
  </si>
  <si>
    <t>Delete</t>
  </si>
  <si>
    <t>There is no delete or deactivate action; the backend refuses DELETE; closing as Lost keeps the record.</t>
  </si>
  <si>
    <t>Confirm this is the intended policy for UC-OPP-011.</t>
  </si>
  <si>
    <t>OPP-054, OPP-055</t>
  </si>
  <si>
    <t>OBS-10</t>
  </si>
  <si>
    <t>Convert</t>
  </si>
  <si>
    <t>Converting an already-converted lead again through the API answers 201 with the existing opportunity (no duplicate).</t>
  </si>
  <si>
    <t>Acceptable (idempotent); a 409 with a message would be clearer.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</si>
</sst>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4"/>
      <name val="Arial"/>
    </font>
    <font>
      <b/>
      <sz val="10"/>
      <name val="Arial"/>
    </font>
    <font>
      <sz val="10"/>
      <name val="Arial"/>
    </font>
    <font>
      <b/>
      <color rgb="FFFFFFFF"/>
      <sz val="10"/>
      <name val="Arial"/>
    </font>
    <font>
      <i/>
      <sz val="10"/>
      <name val="Arial"/>
    </font>
  </fonts>
  <fills count="3">
    <fill>
      <patternFill patternType="none"/>
    </fill>
    <fill>
      <patternFill patternType="gray125"/>
    </fill>
    <fill>
      <patternFill patternType="solid">
        <fgColor rgb="FF12465B"/>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0">
    <xf numFmtId="0" fontId="0" fillId="0" borderId="0" xfId="0"/>
    <xf numFmtId="0" fontId="1" fillId="0" borderId="0" xfId="0" applyFont="1"/>
    <xf numFmtId="0" fontId="2" fillId="0" borderId="0" xfId="0" applyFont="1" applyAlignment="1">
      <alignment vertical="top" wrapText="1"/>
    </xf>
    <xf numFmtId="0" fontId="3" fillId="0" borderId="0" xfId="0" applyFont="1" applyAlignment="1">
      <alignment vertical="top" wrapText="1"/>
    </xf>
    <xf numFmtId="0" fontId="4" fillId="2" borderId="1" xfId="0" applyFont="1" applyFill="1" applyBorder="1"/>
    <xf numFmtId="0" fontId="3" fillId="0" borderId="1" xfId="0" applyFont="1" applyBorder="1"/>
    <xf numFmtId="0" fontId="2" fillId="0" borderId="1" xfId="0" applyFont="1" applyBorder="1"/>
    <xf numFmtId="0" fontId="5" fillId="0" borderId="0" xfId="0" applyFont="1"/>
    <xf numFmtId="0" fontId="4" fillId="2" borderId="1" xfId="0" applyFont="1" applyFill="1" applyBorder="1" applyAlignment="1">
      <alignment vertical="center" wrapText="1"/>
    </xf>
    <xf numFmtId="0" fontId="3" fillId="0" borderId="1" xfId="0" applyFont="1" applyBorder="1" applyAlignment="1">
      <alignment vertical="top" wrapText="1"/>
    </xf>
  </cellXfs>
  <cellStyles count="1">
    <cellStyle name="Normal" xfId="0" builtinId="0"/>
  </cellStyles>
  <dxfs count="3">
    <dxf>
      <fill>
        <patternFill patternType="solid">
          <bgColor rgb="FFC6EFCE"/>
        </patternFill>
      </fill>
    </dxf>
    <dxf>
      <fill>
        <patternFill patternType="solid">
          <bgColor rgb="FFFFC7CE"/>
        </patternFill>
      </fill>
    </dxf>
    <dxf>
      <fill>
        <patternFill patternType="solid">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7"/>
  <sheetFormatPr defaultRowHeight="15" outlineLevelRow="0" outlineLevelCol="0" x14ac:dyDescent="55"/>
  <cols>
    <col min="1" max="1" width="32" customWidth="1"/>
    <col min="2" max="2" width="70" customWidth="1"/>
    <col min="3" max="5" width="10" customWidth="1"/>
  </cols>
  <sheetData>
    <row r="1" spans="1:1" x14ac:dyDescent="0.25">
      <c r="A1" s="1" t="s">
        <v>0</v>
      </c>
    </row>
    <row r="3" spans="1:2" x14ac:dyDescent="0.25">
      <c r="A3" s="2" t="s">
        <v>1</v>
      </c>
      <c r="B3" s="3" t="s">
        <v>2</v>
      </c>
    </row>
    <row r="4" spans="1:2" x14ac:dyDescent="0.25">
      <c r="A4" s="2" t="s">
        <v>3</v>
      </c>
      <c r="B4" s="3" t="s">
        <v>4</v>
      </c>
    </row>
    <row r="5" spans="1:2" x14ac:dyDescent="0.25">
      <c r="A5" s="2" t="s">
        <v>5</v>
      </c>
      <c r="B5" s="3" t="s">
        <v>6</v>
      </c>
    </row>
    <row r="6" spans="1:2" x14ac:dyDescent="0.25">
      <c r="A6" s="2" t="s">
        <v>7</v>
      </c>
      <c r="B6" s="3" t="s">
        <v>8</v>
      </c>
    </row>
    <row r="7" spans="1:2" x14ac:dyDescent="0.25">
      <c r="A7" s="2" t="s">
        <v>9</v>
      </c>
      <c r="B7" s="3" t="s">
        <v>10</v>
      </c>
    </row>
    <row r="8" spans="1:2" x14ac:dyDescent="0.25">
      <c r="A8" s="2" t="s">
        <v>11</v>
      </c>
      <c r="B8" s="3" t="s">
        <v>12</v>
      </c>
    </row>
    <row r="9" spans="1:2" x14ac:dyDescent="0.25">
      <c r="A9" s="2" t="s">
        <v>13</v>
      </c>
      <c r="B9" s="3" t="s">
        <v>14</v>
      </c>
    </row>
    <row r="10" spans="1:2" x14ac:dyDescent="0.25">
      <c r="A10" s="2" t="s">
        <v>15</v>
      </c>
      <c r="B10" s="3" t="s">
        <v>16</v>
      </c>
    </row>
    <row r="12" spans="1:5" x14ac:dyDescent="0.25">
      <c r="A12" s="4" t="s">
        <v>17</v>
      </c>
      <c r="B12" s="4" t="s">
        <v>18</v>
      </c>
      <c r="C12" s="4" t="s">
        <v>19</v>
      </c>
      <c r="D12" s="4" t="s">
        <v>20</v>
      </c>
      <c r="E12" s="4" t="s">
        <v>21</v>
      </c>
    </row>
    <row r="13" spans="1:5" x14ac:dyDescent="0.25">
      <c r="A13" s="5" t="s">
        <v>22</v>
      </c>
      <c r="B13" s="5">
        <f>COUNTIF('Test Cases'!$B$2:$B$79,"*"&amp;LEFT(A13,10)&amp;"*")</f>
        <v>16</v>
      </c>
      <c r="C13" s="5">
        <f>COUNTIFS('Test Cases'!$B$2:$B$79,"*"&amp;LEFT(A13,10)&amp;"*",'Test Cases'!$K$2:$K$79,"High")</f>
        <v>10</v>
      </c>
      <c r="D13" s="5">
        <f>COUNTIFS('Test Cases'!$B$2:$B$79,"*"&amp;LEFT(A13,10)&amp;"*",'Test Cases'!$L$2:$L$79,"Pass")</f>
        <v>15</v>
      </c>
      <c r="E13" s="5">
        <f>COUNTIFS('Test Cases'!$B$2:$B$79,"*"&amp;LEFT(A13,10)&amp;"*",'Test Cases'!$L$2:$L$79,"Fail")</f>
        <v>1</v>
      </c>
    </row>
    <row r="14" spans="1:5" x14ac:dyDescent="0.25">
      <c r="A14" s="5" t="s">
        <v>23</v>
      </c>
      <c r="B14" s="5">
        <f>COUNTIF('Test Cases'!$B$2:$B$79,"*"&amp;LEFT(A14,10)&amp;"*")</f>
        <v>11</v>
      </c>
      <c r="C14" s="5">
        <f>COUNTIFS('Test Cases'!$B$2:$B$79,"*"&amp;LEFT(A14,10)&amp;"*",'Test Cases'!$K$2:$K$79,"High")</f>
        <v>9</v>
      </c>
      <c r="D14" s="5">
        <f>COUNTIFS('Test Cases'!$B$2:$B$79,"*"&amp;LEFT(A14,10)&amp;"*",'Test Cases'!$L$2:$L$79,"Pass")</f>
        <v>11</v>
      </c>
      <c r="E14" s="5">
        <f>COUNTIFS('Test Cases'!$B$2:$B$79,"*"&amp;LEFT(A14,10)&amp;"*",'Test Cases'!$L$2:$L$79,"Fail")</f>
        <v>0</v>
      </c>
    </row>
    <row r="15" spans="1:5" x14ac:dyDescent="0.25">
      <c r="A15" s="5" t="s">
        <v>24</v>
      </c>
      <c r="B15" s="5">
        <f>COUNTIF('Test Cases'!$B$2:$B$79,"*"&amp;LEFT(A15,10)&amp;"*")</f>
        <v>4</v>
      </c>
      <c r="C15" s="5">
        <f>COUNTIFS('Test Cases'!$B$2:$B$79,"*"&amp;LEFT(A15,10)&amp;"*",'Test Cases'!$K$2:$K$79,"High")</f>
        <v>3</v>
      </c>
      <c r="D15" s="5">
        <f>COUNTIFS('Test Cases'!$B$2:$B$79,"*"&amp;LEFT(A15,10)&amp;"*",'Test Cases'!$L$2:$L$79,"Pass")</f>
        <v>3</v>
      </c>
      <c r="E15" s="5">
        <f>COUNTIFS('Test Cases'!$B$2:$B$79,"*"&amp;LEFT(A15,10)&amp;"*",'Test Cases'!$L$2:$L$79,"Fail")</f>
        <v>1</v>
      </c>
    </row>
    <row r="16" spans="1:5" x14ac:dyDescent="0.25">
      <c r="A16" s="5" t="s">
        <v>25</v>
      </c>
      <c r="B16" s="5">
        <f>COUNTIF('Test Cases'!$B$2:$B$79,"*"&amp;LEFT(A16,10)&amp;"*")</f>
        <v>7</v>
      </c>
      <c r="C16" s="5">
        <f>COUNTIFS('Test Cases'!$B$2:$B$79,"*"&amp;LEFT(A16,10)&amp;"*",'Test Cases'!$K$2:$K$79,"High")</f>
        <v>5</v>
      </c>
      <c r="D16" s="5">
        <f>COUNTIFS('Test Cases'!$B$2:$B$79,"*"&amp;LEFT(A16,10)&amp;"*",'Test Cases'!$L$2:$L$79,"Pass")</f>
        <v>6</v>
      </c>
      <c r="E16" s="5">
        <f>COUNTIFS('Test Cases'!$B$2:$B$79,"*"&amp;LEFT(A16,10)&amp;"*",'Test Cases'!$L$2:$L$79,"Fail")</f>
        <v>0</v>
      </c>
    </row>
    <row r="17" spans="1:5" x14ac:dyDescent="0.25">
      <c r="A17" s="5" t="s">
        <v>26</v>
      </c>
      <c r="B17" s="5">
        <f>COUNTIF('Test Cases'!$B$2:$B$79,"*"&amp;LEFT(A17,10)&amp;"*")</f>
        <v>6</v>
      </c>
      <c r="C17" s="5">
        <f>COUNTIFS('Test Cases'!$B$2:$B$79,"*"&amp;LEFT(A17,10)&amp;"*",'Test Cases'!$K$2:$K$79,"High")</f>
        <v>3</v>
      </c>
      <c r="D17" s="5">
        <f>COUNTIFS('Test Cases'!$B$2:$B$79,"*"&amp;LEFT(A17,10)&amp;"*",'Test Cases'!$L$2:$L$79,"Pass")</f>
        <v>6</v>
      </c>
      <c r="E17" s="5">
        <f>COUNTIFS('Test Cases'!$B$2:$B$79,"*"&amp;LEFT(A17,10)&amp;"*",'Test Cases'!$L$2:$L$79,"Fail")</f>
        <v>0</v>
      </c>
    </row>
    <row r="18" spans="1:5" x14ac:dyDescent="0.25">
      <c r="A18" s="5" t="s">
        <v>27</v>
      </c>
      <c r="B18" s="5">
        <f>COUNTIF('Test Cases'!$B$2:$B$79,"*"&amp;LEFT(A18,10)&amp;"*")</f>
        <v>7</v>
      </c>
      <c r="C18" s="5">
        <f>COUNTIFS('Test Cases'!$B$2:$B$79,"*"&amp;LEFT(A18,10)&amp;"*",'Test Cases'!$K$2:$K$79,"High")</f>
        <v>0</v>
      </c>
      <c r="D18" s="5">
        <f>COUNTIFS('Test Cases'!$B$2:$B$79,"*"&amp;LEFT(A18,10)&amp;"*",'Test Cases'!$L$2:$L$79,"Pass")</f>
        <v>6</v>
      </c>
      <c r="E18" s="5">
        <f>COUNTIFS('Test Cases'!$B$2:$B$79,"*"&amp;LEFT(A18,10)&amp;"*",'Test Cases'!$L$2:$L$79,"Fail")</f>
        <v>1</v>
      </c>
    </row>
    <row r="19" spans="1:5" x14ac:dyDescent="0.25">
      <c r="A19" s="5" t="s">
        <v>28</v>
      </c>
      <c r="B19" s="5">
        <f>COUNTIF('Test Cases'!$B$2:$B$79,"*"&amp;LEFT(A19,10)&amp;"*")</f>
        <v>7</v>
      </c>
      <c r="C19" s="5">
        <f>COUNTIFS('Test Cases'!$B$2:$B$79,"*"&amp;LEFT(A19,10)&amp;"*",'Test Cases'!$K$2:$K$79,"High")</f>
        <v>4</v>
      </c>
      <c r="D19" s="5">
        <f>COUNTIFS('Test Cases'!$B$2:$B$79,"*"&amp;LEFT(A19,10)&amp;"*",'Test Cases'!$L$2:$L$79,"Pass")</f>
        <v>5</v>
      </c>
      <c r="E19" s="5">
        <f>COUNTIFS('Test Cases'!$B$2:$B$79,"*"&amp;LEFT(A19,10)&amp;"*",'Test Cases'!$L$2:$L$79,"Fail")</f>
        <v>2</v>
      </c>
    </row>
    <row r="20" spans="1:5" x14ac:dyDescent="0.25">
      <c r="A20" s="5" t="s">
        <v>29</v>
      </c>
      <c r="B20" s="5">
        <f>COUNTIF('Test Cases'!$B$2:$B$79,"*"&amp;LEFT(A20,10)&amp;"*")</f>
        <v>2</v>
      </c>
      <c r="C20" s="5">
        <f>COUNTIFS('Test Cases'!$B$2:$B$79,"*"&amp;LEFT(A20,10)&amp;"*",'Test Cases'!$K$2:$K$79,"High")</f>
        <v>2</v>
      </c>
      <c r="D20" s="5">
        <f>COUNTIFS('Test Cases'!$B$2:$B$79,"*"&amp;LEFT(A20,10)&amp;"*",'Test Cases'!$L$2:$L$79,"Pass")</f>
        <v>2</v>
      </c>
      <c r="E20" s="5">
        <f>COUNTIFS('Test Cases'!$B$2:$B$79,"*"&amp;LEFT(A20,10)&amp;"*",'Test Cases'!$L$2:$L$79,"Fail")</f>
        <v>0</v>
      </c>
    </row>
    <row r="21" spans="1:5" x14ac:dyDescent="0.25">
      <c r="A21" s="5" t="s">
        <v>30</v>
      </c>
      <c r="B21" s="5">
        <f>COUNTIF('Test Cases'!$B$2:$B$79,"*"&amp;LEFT(A21,10)&amp;"*")</f>
        <v>6</v>
      </c>
      <c r="C21" s="5">
        <f>COUNTIFS('Test Cases'!$B$2:$B$79,"*"&amp;LEFT(A21,10)&amp;"*",'Test Cases'!$K$2:$K$79,"High")</f>
        <v>4</v>
      </c>
      <c r="D21" s="5">
        <f>COUNTIFS('Test Cases'!$B$2:$B$79,"*"&amp;LEFT(A21,10)&amp;"*",'Test Cases'!$L$2:$L$79,"Pass")</f>
        <v>6</v>
      </c>
      <c r="E21" s="5">
        <f>COUNTIFS('Test Cases'!$B$2:$B$79,"*"&amp;LEFT(A21,10)&amp;"*",'Test Cases'!$L$2:$L$79,"Fail")</f>
        <v>0</v>
      </c>
    </row>
    <row r="22" spans="1:5" x14ac:dyDescent="0.25">
      <c r="A22" s="5" t="s">
        <v>31</v>
      </c>
      <c r="B22" s="5">
        <f>COUNTIF('Test Cases'!$B$2:$B$79,"*"&amp;LEFT(A22,10)&amp;"*")</f>
        <v>8</v>
      </c>
      <c r="C22" s="5">
        <f>COUNTIFS('Test Cases'!$B$2:$B$79,"*"&amp;LEFT(A22,10)&amp;"*",'Test Cases'!$K$2:$K$79,"High")</f>
        <v>7</v>
      </c>
      <c r="D22" s="5">
        <f>COUNTIFS('Test Cases'!$B$2:$B$79,"*"&amp;LEFT(A22,10)&amp;"*",'Test Cases'!$L$2:$L$79,"Pass")</f>
        <v>8</v>
      </c>
      <c r="E22" s="5">
        <f>COUNTIFS('Test Cases'!$B$2:$B$79,"*"&amp;LEFT(A22,10)&amp;"*",'Test Cases'!$L$2:$L$79,"Fail")</f>
        <v>0</v>
      </c>
    </row>
    <row r="23" spans="1:5" x14ac:dyDescent="0.25">
      <c r="A23" s="5" t="s">
        <v>32</v>
      </c>
      <c r="B23" s="5">
        <f>COUNTIF('Test Cases'!$B$2:$B$79,"*"&amp;LEFT(A23,10)&amp;"*")</f>
        <v>4</v>
      </c>
      <c r="C23" s="5">
        <f>COUNTIFS('Test Cases'!$B$2:$B$79,"*"&amp;LEFT(A23,10)&amp;"*",'Test Cases'!$K$2:$K$79,"High")</f>
        <v>2</v>
      </c>
      <c r="D23" s="5">
        <f>COUNTIFS('Test Cases'!$B$2:$B$79,"*"&amp;LEFT(A23,10)&amp;"*",'Test Cases'!$L$2:$L$79,"Pass")</f>
        <v>4</v>
      </c>
      <c r="E23" s="5">
        <f>COUNTIFS('Test Cases'!$B$2:$B$79,"*"&amp;LEFT(A23,10)&amp;"*",'Test Cases'!$L$2:$L$79,"Fail")</f>
        <v>0</v>
      </c>
    </row>
    <row r="24" spans="1:5" x14ac:dyDescent="0.25">
      <c r="A24" s="5" t="s">
        <v>33</v>
      </c>
      <c r="B24" s="5">
        <f>COUNTIF('Test Cases'!$B$2:$B$79,"*"&amp;LEFT(A24,10)&amp;"*")</f>
        <v>4</v>
      </c>
      <c r="C24" s="5">
        <f>COUNTIFS('Test Cases'!$B$2:$B$79,"*"&amp;LEFT(A24,10)&amp;"*",'Test Cases'!$K$2:$K$79,"High")</f>
        <v>4</v>
      </c>
      <c r="D24" s="5">
        <f>COUNTIFS('Test Cases'!$B$2:$B$79,"*"&amp;LEFT(A24,10)&amp;"*",'Test Cases'!$L$2:$L$79,"Pass")</f>
        <v>3</v>
      </c>
      <c r="E24" s="5">
        <f>COUNTIFS('Test Cases'!$B$2:$B$79,"*"&amp;LEFT(A24,10)&amp;"*",'Test Cases'!$L$2:$L$79,"Fail")</f>
        <v>0</v>
      </c>
    </row>
    <row r="25" spans="1:3" x14ac:dyDescent="0.25">
      <c r="A25" s="6" t="s">
        <v>34</v>
      </c>
      <c r="B25" s="5">
        <f>COUNTA('Test Cases'!$A$2:$A$79)</f>
        <v>78</v>
      </c>
      <c r="C25" s="7" t="s">
        <v>35</v>
      </c>
    </row>
    <row r="27" spans="1:2" x14ac:dyDescent="0.25">
      <c r="A27" s="4" t="s">
        <v>36</v>
      </c>
      <c r="B27" s="4" t="s">
        <v>18</v>
      </c>
    </row>
    <row r="28" spans="1:2" x14ac:dyDescent="0.25">
      <c r="A28" s="5" t="s">
        <v>37</v>
      </c>
      <c r="B28" s="5">
        <f>COUNTIF('Test Cases'!$J$2:$J$79,A28)</f>
        <v>4</v>
      </c>
    </row>
    <row r="29" spans="1:2" x14ac:dyDescent="0.25">
      <c r="A29" s="5" t="s">
        <v>38</v>
      </c>
      <c r="B29" s="5">
        <f>COUNTIF('Test Cases'!$J$2:$J$79,A29)</f>
        <v>7</v>
      </c>
    </row>
    <row r="30" spans="1:2" x14ac:dyDescent="0.25">
      <c r="A30" s="5" t="s">
        <v>39</v>
      </c>
      <c r="B30" s="5">
        <f>COUNTIF('Test Cases'!$J$2:$J$79,A30)</f>
        <v>35</v>
      </c>
    </row>
    <row r="31" spans="1:2" x14ac:dyDescent="0.25">
      <c r="A31" s="5" t="s">
        <v>40</v>
      </c>
      <c r="B31" s="5">
        <f>COUNTIF('Test Cases'!$J$2:$J$79,A31)</f>
        <v>13</v>
      </c>
    </row>
    <row r="32" spans="1:2" x14ac:dyDescent="0.25">
      <c r="A32" s="5" t="s">
        <v>41</v>
      </c>
      <c r="B32" s="5">
        <f>COUNTIF('Test Cases'!$J$2:$J$79,A32)</f>
        <v>12</v>
      </c>
    </row>
    <row r="33" spans="1:2" x14ac:dyDescent="0.25">
      <c r="A33" s="5" t="s">
        <v>42</v>
      </c>
      <c r="B33" s="5">
        <f>COUNTIF('Test Cases'!$J$2:$J$79,A33)</f>
        <v>7</v>
      </c>
    </row>
    <row r="35" spans="1:2" x14ac:dyDescent="0.25">
      <c r="A35" s="4" t="s">
        <v>43</v>
      </c>
      <c r="B35" s="4" t="s">
        <v>18</v>
      </c>
    </row>
    <row r="36" spans="1:2" x14ac:dyDescent="0.25">
      <c r="A36" s="5" t="s">
        <v>19</v>
      </c>
      <c r="B36" s="5">
        <f>COUNTIF('Test Cases'!$K$2:$K$79,A36)</f>
        <v>49</v>
      </c>
    </row>
    <row r="37" spans="1:2" x14ac:dyDescent="0.25">
      <c r="A37" s="5" t="s">
        <v>44</v>
      </c>
      <c r="B37" s="5">
        <f>COUNTIF('Test Cases'!$K$2:$K$79,A37)</f>
        <v>29</v>
      </c>
    </row>
    <row r="38" spans="1:2" x14ac:dyDescent="0.25">
      <c r="A38" s="5" t="s">
        <v>45</v>
      </c>
      <c r="B38" s="5">
        <f>COUNTIF('Test Cases'!$K$2:$K$79,A38)</f>
        <v>0</v>
      </c>
    </row>
    <row r="40" spans="1:2" x14ac:dyDescent="0.25">
      <c r="A40" s="4" t="s">
        <v>46</v>
      </c>
      <c r="B40" s="4" t="s">
        <v>18</v>
      </c>
    </row>
    <row r="41" spans="1:2" x14ac:dyDescent="0.25">
      <c r="A41" s="5" t="s">
        <v>47</v>
      </c>
      <c r="B41" s="5">
        <f>COUNTIF('Test Cases'!$L$2:$L$79,A41)</f>
        <v>0</v>
      </c>
    </row>
    <row r="42" spans="1:2" x14ac:dyDescent="0.25">
      <c r="A42" s="5" t="s">
        <v>20</v>
      </c>
      <c r="B42" s="5">
        <f>COUNTIF('Test Cases'!$L$2:$L$79,A42)</f>
        <v>71</v>
      </c>
    </row>
    <row r="43" spans="1:2" x14ac:dyDescent="0.25">
      <c r="A43" s="5" t="s">
        <v>21</v>
      </c>
      <c r="B43" s="5">
        <f>COUNTIF('Test Cases'!$L$2:$L$79,A43)</f>
        <v>5</v>
      </c>
    </row>
    <row r="44" spans="1:2" x14ac:dyDescent="0.25">
      <c r="A44" s="5" t="s">
        <v>48</v>
      </c>
      <c r="B44" s="5">
        <f>COUNTIF('Test Cases'!$L$2:$L$79,A44)</f>
        <v>2</v>
      </c>
    </row>
    <row r="45" spans="1:2" x14ac:dyDescent="0.25">
      <c r="A45" s="5" t="s">
        <v>49</v>
      </c>
      <c r="B45" s="5">
        <f>COUNTIF('Test Cases'!$L$2:$L$79,A45)</f>
        <v>0</v>
      </c>
    </row>
    <row r="47" spans="1:2" x14ac:dyDescent="0.25">
      <c r="A47" s="6" t="s">
        <v>50</v>
      </c>
      <c r="B47" s="5">
        <f>COUNTA(Observations!$A$2:$A$11)</f>
        <v>10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9"/>
  <sheetViews>
    <sheetView workbookViewId="0">
      <pane xSplit="4" ySplit="1" topLeftCell="E2" activePane="bottomRight" state="frozen"/>
      <selection pane="bottomRight"/>
    </sheetView>
  </sheetViews>
  <sheetFormatPr defaultRowHeight="15" outlineLevelRow="0" outlineLevelCol="0" x14ac:dyDescent="55"/>
  <cols>
    <col min="1" max="1" width="10" customWidth="1"/>
    <col min="2" max="2" width="14" customWidth="1"/>
    <col min="3" max="3" width="22" customWidth="1"/>
    <col min="4" max="4" width="38" customWidth="1"/>
    <col min="5" max="5" width="30" customWidth="1"/>
    <col min="6" max="6" width="48" customWidth="1"/>
    <col min="7" max="7" width="24" customWidth="1"/>
    <col min="8" max="8" width="52" customWidth="1"/>
    <col min="9" max="9" width="44" customWidth="1"/>
    <col min="10" max="10" width="12" customWidth="1"/>
    <col min="11" max="11" width="10" customWidth="1"/>
    <col min="12" max="12" width="12" customWidth="1"/>
    <col min="13" max="13" width="30" customWidth="1"/>
    <col min="14" max="14" width="22" customWidth="1"/>
  </cols>
  <sheetData>
    <row r="1" ht="30" customHeight="1" spans="1:14" x14ac:dyDescent="0.25">
      <c r="A1" s="8" t="s">
        <v>51</v>
      </c>
      <c r="B1" s="8" t="s">
        <v>52</v>
      </c>
      <c r="C1" s="8" t="s">
        <v>53</v>
      </c>
      <c r="D1" s="8" t="s">
        <v>54</v>
      </c>
      <c r="E1" s="8" t="s">
        <v>55</v>
      </c>
      <c r="F1" s="8" t="s">
        <v>56</v>
      </c>
      <c r="G1" s="8" t="s">
        <v>57</v>
      </c>
      <c r="H1" s="8" t="s">
        <v>58</v>
      </c>
      <c r="I1" s="8" t="s">
        <v>59</v>
      </c>
      <c r="J1" s="8" t="s">
        <v>60</v>
      </c>
      <c r="K1" s="8" t="s">
        <v>61</v>
      </c>
      <c r="L1" s="8" t="s">
        <v>62</v>
      </c>
      <c r="M1" s="8" t="s">
        <v>63</v>
      </c>
      <c r="N1" s="8" t="s">
        <v>64</v>
      </c>
    </row>
    <row r="2" spans="1:14" x14ac:dyDescent="0.25">
      <c r="A2" s="9" t="s">
        <v>65</v>
      </c>
      <c r="B2" s="9" t="s">
        <v>66</v>
      </c>
      <c r="C2" s="9" t="s">
        <v>67</v>
      </c>
      <c r="D2" s="9" t="s">
        <v>68</v>
      </c>
      <c r="E2" s="9" t="s">
        <v>69</v>
      </c>
      <c r="F2" s="9" t="s">
        <v>70</v>
      </c>
      <c r="G2" s="9" t="s">
        <v>71</v>
      </c>
      <c r="H2" s="9" t="s">
        <v>72</v>
      </c>
      <c r="I2" s="9" t="s">
        <v>73</v>
      </c>
      <c r="J2" s="9" t="s">
        <v>37</v>
      </c>
      <c r="K2" s="9" t="s">
        <v>19</v>
      </c>
      <c r="L2" s="9" t="s">
        <v>20</v>
      </c>
      <c r="M2" s="9" t="s">
        <v>71</v>
      </c>
      <c r="N2" s="9" t="s">
        <v>74</v>
      </c>
    </row>
    <row r="3" spans="1:14" x14ac:dyDescent="0.25">
      <c r="A3" s="9" t="s">
        <v>75</v>
      </c>
      <c r="B3" s="9" t="s">
        <v>66</v>
      </c>
      <c r="C3" s="9" t="s">
        <v>67</v>
      </c>
      <c r="D3" s="9" t="s">
        <v>76</v>
      </c>
      <c r="E3" s="9" t="s">
        <v>69</v>
      </c>
      <c r="F3" s="9" t="s">
        <v>77</v>
      </c>
      <c r="G3" s="9" t="s">
        <v>71</v>
      </c>
      <c r="H3" s="9" t="s">
        <v>78</v>
      </c>
      <c r="I3" s="9" t="s">
        <v>73</v>
      </c>
      <c r="J3" s="9" t="s">
        <v>38</v>
      </c>
      <c r="K3" s="9" t="s">
        <v>19</v>
      </c>
      <c r="L3" s="9" t="s">
        <v>20</v>
      </c>
      <c r="M3" s="9" t="s">
        <v>71</v>
      </c>
      <c r="N3" s="9" t="s">
        <v>74</v>
      </c>
    </row>
    <row r="4" spans="1:14" x14ac:dyDescent="0.25">
      <c r="A4" s="9" t="s">
        <v>79</v>
      </c>
      <c r="B4" s="9" t="s">
        <v>66</v>
      </c>
      <c r="C4" s="9" t="s">
        <v>67</v>
      </c>
      <c r="D4" s="9" t="s">
        <v>80</v>
      </c>
      <c r="E4" s="9" t="s">
        <v>69</v>
      </c>
      <c r="F4" s="9" t="s">
        <v>81</v>
      </c>
      <c r="G4" s="9" t="s">
        <v>71</v>
      </c>
      <c r="H4" s="9" t="s">
        <v>82</v>
      </c>
      <c r="I4" s="9" t="s">
        <v>73</v>
      </c>
      <c r="J4" s="9" t="s">
        <v>38</v>
      </c>
      <c r="K4" s="9" t="s">
        <v>44</v>
      </c>
      <c r="L4" s="9" t="s">
        <v>20</v>
      </c>
      <c r="M4" s="9" t="s">
        <v>71</v>
      </c>
      <c r="N4" s="9" t="s">
        <v>74</v>
      </c>
    </row>
    <row r="5" spans="1:14" x14ac:dyDescent="0.25">
      <c r="A5" s="9" t="s">
        <v>83</v>
      </c>
      <c r="B5" s="9" t="s">
        <v>66</v>
      </c>
      <c r="C5" s="9" t="s">
        <v>67</v>
      </c>
      <c r="D5" s="9" t="s">
        <v>84</v>
      </c>
      <c r="E5" s="9" t="s">
        <v>69</v>
      </c>
      <c r="F5" s="9" t="s">
        <v>85</v>
      </c>
      <c r="G5" s="9" t="s">
        <v>71</v>
      </c>
      <c r="H5" s="9" t="s">
        <v>86</v>
      </c>
      <c r="I5" s="9" t="s">
        <v>87</v>
      </c>
      <c r="J5" s="9" t="s">
        <v>41</v>
      </c>
      <c r="K5" s="9" t="s">
        <v>19</v>
      </c>
      <c r="L5" s="9" t="s">
        <v>21</v>
      </c>
      <c r="M5" s="9" t="s">
        <v>71</v>
      </c>
      <c r="N5" s="9" t="s">
        <v>74</v>
      </c>
    </row>
    <row r="6" spans="1:14" x14ac:dyDescent="0.25">
      <c r="A6" s="9" t="s">
        <v>88</v>
      </c>
      <c r="B6" s="9" t="s">
        <v>66</v>
      </c>
      <c r="C6" s="9" t="s">
        <v>67</v>
      </c>
      <c r="D6" s="9" t="s">
        <v>89</v>
      </c>
      <c r="E6" s="9" t="s">
        <v>69</v>
      </c>
      <c r="F6" s="9" t="s">
        <v>90</v>
      </c>
      <c r="G6" s="9" t="s">
        <v>71</v>
      </c>
      <c r="H6" s="9" t="s">
        <v>91</v>
      </c>
      <c r="I6" s="9" t="s">
        <v>73</v>
      </c>
      <c r="J6" s="9" t="s">
        <v>41</v>
      </c>
      <c r="K6" s="9" t="s">
        <v>19</v>
      </c>
      <c r="L6" s="9" t="s">
        <v>20</v>
      </c>
      <c r="M6" s="9" t="s">
        <v>71</v>
      </c>
      <c r="N6" s="9" t="s">
        <v>74</v>
      </c>
    </row>
    <row r="7" spans="1:14" x14ac:dyDescent="0.25">
      <c r="A7" s="9" t="s">
        <v>92</v>
      </c>
      <c r="B7" s="9" t="s">
        <v>66</v>
      </c>
      <c r="C7" s="9" t="s">
        <v>67</v>
      </c>
      <c r="D7" s="9" t="s">
        <v>93</v>
      </c>
      <c r="E7" s="9" t="s">
        <v>69</v>
      </c>
      <c r="F7" s="9" t="s">
        <v>94</v>
      </c>
      <c r="G7" s="9" t="s">
        <v>71</v>
      </c>
      <c r="H7" s="9" t="s">
        <v>95</v>
      </c>
      <c r="I7" s="9" t="s">
        <v>73</v>
      </c>
      <c r="J7" s="9" t="s">
        <v>39</v>
      </c>
      <c r="K7" s="9" t="s">
        <v>19</v>
      </c>
      <c r="L7" s="9" t="s">
        <v>20</v>
      </c>
      <c r="M7" s="9" t="s">
        <v>71</v>
      </c>
      <c r="N7" s="9" t="s">
        <v>74</v>
      </c>
    </row>
    <row r="8" spans="1:14" x14ac:dyDescent="0.25">
      <c r="A8" s="9" t="s">
        <v>96</v>
      </c>
      <c r="B8" s="9" t="s">
        <v>66</v>
      </c>
      <c r="C8" s="9" t="s">
        <v>67</v>
      </c>
      <c r="D8" s="9" t="s">
        <v>97</v>
      </c>
      <c r="E8" s="9" t="s">
        <v>69</v>
      </c>
      <c r="F8" s="9" t="s">
        <v>98</v>
      </c>
      <c r="G8" s="9" t="s">
        <v>71</v>
      </c>
      <c r="H8" s="9" t="s">
        <v>99</v>
      </c>
      <c r="I8" s="9" t="s">
        <v>73</v>
      </c>
      <c r="J8" s="9" t="s">
        <v>38</v>
      </c>
      <c r="K8" s="9" t="s">
        <v>44</v>
      </c>
      <c r="L8" s="9" t="s">
        <v>20</v>
      </c>
      <c r="M8" s="9" t="s">
        <v>71</v>
      </c>
      <c r="N8" s="9" t="s">
        <v>74</v>
      </c>
    </row>
    <row r="9" spans="1:14" x14ac:dyDescent="0.25">
      <c r="A9" s="9" t="s">
        <v>100</v>
      </c>
      <c r="B9" s="9" t="s">
        <v>66</v>
      </c>
      <c r="C9" s="9" t="s">
        <v>67</v>
      </c>
      <c r="D9" s="9" t="s">
        <v>101</v>
      </c>
      <c r="E9" s="9" t="s">
        <v>69</v>
      </c>
      <c r="F9" s="9" t="s">
        <v>102</v>
      </c>
      <c r="G9" s="9" t="s">
        <v>71</v>
      </c>
      <c r="H9" s="9" t="s">
        <v>103</v>
      </c>
      <c r="I9" s="9" t="s">
        <v>73</v>
      </c>
      <c r="J9" s="9" t="s">
        <v>39</v>
      </c>
      <c r="K9" s="9" t="s">
        <v>19</v>
      </c>
      <c r="L9" s="9" t="s">
        <v>20</v>
      </c>
      <c r="M9" s="9" t="s">
        <v>71</v>
      </c>
      <c r="N9" s="9" t="s">
        <v>74</v>
      </c>
    </row>
    <row r="10" spans="1:14" x14ac:dyDescent="0.25">
      <c r="A10" s="9" t="s">
        <v>104</v>
      </c>
      <c r="B10" s="9" t="s">
        <v>105</v>
      </c>
      <c r="C10" s="9" t="s">
        <v>106</v>
      </c>
      <c r="D10" s="9" t="s">
        <v>107</v>
      </c>
      <c r="E10" s="9" t="s">
        <v>108</v>
      </c>
      <c r="F10" s="9" t="s">
        <v>109</v>
      </c>
      <c r="G10" s="9" t="s">
        <v>110</v>
      </c>
      <c r="H10" s="9" t="s">
        <v>111</v>
      </c>
      <c r="I10" s="9" t="s">
        <v>73</v>
      </c>
      <c r="J10" s="9" t="s">
        <v>39</v>
      </c>
      <c r="K10" s="9" t="s">
        <v>19</v>
      </c>
      <c r="L10" s="9" t="s">
        <v>20</v>
      </c>
      <c r="M10" s="9" t="s">
        <v>71</v>
      </c>
      <c r="N10" s="9" t="s">
        <v>112</v>
      </c>
    </row>
    <row r="11" spans="1:14" x14ac:dyDescent="0.25">
      <c r="A11" s="9" t="s">
        <v>113</v>
      </c>
      <c r="B11" s="9" t="s">
        <v>105</v>
      </c>
      <c r="C11" s="9" t="s">
        <v>106</v>
      </c>
      <c r="D11" s="9" t="s">
        <v>114</v>
      </c>
      <c r="E11" s="9" t="s">
        <v>115</v>
      </c>
      <c r="F11" s="9" t="s">
        <v>116</v>
      </c>
      <c r="G11" s="9" t="s">
        <v>117</v>
      </c>
      <c r="H11" s="9" t="s">
        <v>118</v>
      </c>
      <c r="I11" s="9" t="s">
        <v>73</v>
      </c>
      <c r="J11" s="9" t="s">
        <v>39</v>
      </c>
      <c r="K11" s="9" t="s">
        <v>19</v>
      </c>
      <c r="L11" s="9" t="s">
        <v>20</v>
      </c>
      <c r="M11" s="9" t="s">
        <v>71</v>
      </c>
      <c r="N11" s="9" t="s">
        <v>112</v>
      </c>
    </row>
    <row r="12" spans="1:14" x14ac:dyDescent="0.25">
      <c r="A12" s="9" t="s">
        <v>119</v>
      </c>
      <c r="B12" s="9" t="s">
        <v>105</v>
      </c>
      <c r="C12" s="9" t="s">
        <v>106</v>
      </c>
      <c r="D12" s="9" t="s">
        <v>120</v>
      </c>
      <c r="E12" s="9" t="s">
        <v>115</v>
      </c>
      <c r="F12" s="9" t="s">
        <v>121</v>
      </c>
      <c r="G12" s="9" t="s">
        <v>71</v>
      </c>
      <c r="H12" s="9" t="s">
        <v>122</v>
      </c>
      <c r="I12" s="9" t="s">
        <v>73</v>
      </c>
      <c r="J12" s="9" t="s">
        <v>41</v>
      </c>
      <c r="K12" s="9" t="s">
        <v>19</v>
      </c>
      <c r="L12" s="9" t="s">
        <v>20</v>
      </c>
      <c r="M12" s="9" t="s">
        <v>71</v>
      </c>
      <c r="N12" s="9" t="s">
        <v>112</v>
      </c>
    </row>
    <row r="13" spans="1:14" x14ac:dyDescent="0.25">
      <c r="A13" s="9" t="s">
        <v>123</v>
      </c>
      <c r="B13" s="9" t="s">
        <v>105</v>
      </c>
      <c r="C13" s="9" t="s">
        <v>106</v>
      </c>
      <c r="D13" s="9" t="s">
        <v>124</v>
      </c>
      <c r="E13" s="9" t="s">
        <v>115</v>
      </c>
      <c r="F13" s="9" t="s">
        <v>125</v>
      </c>
      <c r="G13" s="9" t="s">
        <v>71</v>
      </c>
      <c r="H13" s="9" t="s">
        <v>126</v>
      </c>
      <c r="I13" s="9" t="s">
        <v>73</v>
      </c>
      <c r="J13" s="9" t="s">
        <v>39</v>
      </c>
      <c r="K13" s="9" t="s">
        <v>19</v>
      </c>
      <c r="L13" s="9" t="s">
        <v>20</v>
      </c>
      <c r="M13" s="9" t="s">
        <v>71</v>
      </c>
      <c r="N13" s="9" t="s">
        <v>112</v>
      </c>
    </row>
    <row r="14" spans="1:14" x14ac:dyDescent="0.25">
      <c r="A14" s="9" t="s">
        <v>127</v>
      </c>
      <c r="B14" s="9" t="s">
        <v>105</v>
      </c>
      <c r="C14" s="9" t="s">
        <v>106</v>
      </c>
      <c r="D14" s="9" t="s">
        <v>128</v>
      </c>
      <c r="E14" s="9" t="s">
        <v>115</v>
      </c>
      <c r="F14" s="9" t="s">
        <v>129</v>
      </c>
      <c r="G14" s="9" t="s">
        <v>71</v>
      </c>
      <c r="H14" s="9" t="s">
        <v>130</v>
      </c>
      <c r="I14" s="9" t="s">
        <v>73</v>
      </c>
      <c r="J14" s="9" t="s">
        <v>41</v>
      </c>
      <c r="K14" s="9" t="s">
        <v>19</v>
      </c>
      <c r="L14" s="9" t="s">
        <v>20</v>
      </c>
      <c r="M14" s="9" t="s">
        <v>71</v>
      </c>
      <c r="N14" s="9" t="s">
        <v>112</v>
      </c>
    </row>
    <row r="15" spans="1:14" x14ac:dyDescent="0.25">
      <c r="A15" s="9" t="s">
        <v>131</v>
      </c>
      <c r="B15" s="9" t="s">
        <v>105</v>
      </c>
      <c r="C15" s="9" t="s">
        <v>106</v>
      </c>
      <c r="D15" s="9" t="s">
        <v>132</v>
      </c>
      <c r="E15" s="9" t="s">
        <v>115</v>
      </c>
      <c r="F15" s="9" t="s">
        <v>133</v>
      </c>
      <c r="G15" s="9" t="s">
        <v>71</v>
      </c>
      <c r="H15" s="9" t="s">
        <v>134</v>
      </c>
      <c r="I15" s="9" t="s">
        <v>73</v>
      </c>
      <c r="J15" s="9" t="s">
        <v>41</v>
      </c>
      <c r="K15" s="9" t="s">
        <v>19</v>
      </c>
      <c r="L15" s="9" t="s">
        <v>20</v>
      </c>
      <c r="M15" s="9" t="s">
        <v>71</v>
      </c>
      <c r="N15" s="9" t="s">
        <v>112</v>
      </c>
    </row>
    <row r="16" spans="1:14" x14ac:dyDescent="0.25">
      <c r="A16" s="9" t="s">
        <v>135</v>
      </c>
      <c r="B16" s="9" t="s">
        <v>105</v>
      </c>
      <c r="C16" s="9" t="s">
        <v>106</v>
      </c>
      <c r="D16" s="9" t="s">
        <v>136</v>
      </c>
      <c r="E16" s="9" t="s">
        <v>115</v>
      </c>
      <c r="F16" s="9" t="s">
        <v>137</v>
      </c>
      <c r="G16" s="9" t="s">
        <v>71</v>
      </c>
      <c r="H16" s="9" t="s">
        <v>138</v>
      </c>
      <c r="I16" s="9" t="s">
        <v>73</v>
      </c>
      <c r="J16" s="9" t="s">
        <v>38</v>
      </c>
      <c r="K16" s="9" t="s">
        <v>44</v>
      </c>
      <c r="L16" s="9" t="s">
        <v>20</v>
      </c>
      <c r="M16" s="9" t="s">
        <v>71</v>
      </c>
      <c r="N16" s="9" t="s">
        <v>112</v>
      </c>
    </row>
    <row r="17" spans="1:14" x14ac:dyDescent="0.25">
      <c r="A17" s="9" t="s">
        <v>139</v>
      </c>
      <c r="B17" s="9" t="s">
        <v>105</v>
      </c>
      <c r="C17" s="9" t="s">
        <v>106</v>
      </c>
      <c r="D17" s="9" t="s">
        <v>140</v>
      </c>
      <c r="E17" s="9" t="s">
        <v>115</v>
      </c>
      <c r="F17" s="9" t="s">
        <v>141</v>
      </c>
      <c r="G17" s="9" t="s">
        <v>142</v>
      </c>
      <c r="H17" s="9" t="s">
        <v>143</v>
      </c>
      <c r="I17" s="9" t="s">
        <v>73</v>
      </c>
      <c r="J17" s="9" t="s">
        <v>40</v>
      </c>
      <c r="K17" s="9" t="s">
        <v>19</v>
      </c>
      <c r="L17" s="9" t="s">
        <v>20</v>
      </c>
      <c r="M17" s="9" t="s">
        <v>71</v>
      </c>
      <c r="N17" s="9" t="s">
        <v>112</v>
      </c>
    </row>
    <row r="18" spans="1:14" x14ac:dyDescent="0.25">
      <c r="A18" s="9" t="s">
        <v>144</v>
      </c>
      <c r="B18" s="9" t="s">
        <v>105</v>
      </c>
      <c r="C18" s="9" t="s">
        <v>106</v>
      </c>
      <c r="D18" s="9" t="s">
        <v>145</v>
      </c>
      <c r="E18" s="9" t="s">
        <v>115</v>
      </c>
      <c r="F18" s="9" t="s">
        <v>146</v>
      </c>
      <c r="G18" s="9" t="s">
        <v>71</v>
      </c>
      <c r="H18" s="9" t="s">
        <v>147</v>
      </c>
      <c r="I18" s="9" t="s">
        <v>73</v>
      </c>
      <c r="J18" s="9" t="s">
        <v>37</v>
      </c>
      <c r="K18" s="9" t="s">
        <v>44</v>
      </c>
      <c r="L18" s="9" t="s">
        <v>20</v>
      </c>
      <c r="M18" s="9" t="s">
        <v>71</v>
      </c>
      <c r="N18" s="9" t="s">
        <v>112</v>
      </c>
    </row>
    <row r="19" spans="1:14" x14ac:dyDescent="0.25">
      <c r="A19" s="9" t="s">
        <v>148</v>
      </c>
      <c r="B19" s="9" t="s">
        <v>105</v>
      </c>
      <c r="C19" s="9" t="s">
        <v>106</v>
      </c>
      <c r="D19" s="9" t="s">
        <v>149</v>
      </c>
      <c r="E19" s="9" t="s">
        <v>69</v>
      </c>
      <c r="F19" s="9" t="s">
        <v>150</v>
      </c>
      <c r="G19" s="9" t="s">
        <v>151</v>
      </c>
      <c r="H19" s="9" t="s">
        <v>152</v>
      </c>
      <c r="I19" s="9" t="s">
        <v>73</v>
      </c>
      <c r="J19" s="9" t="s">
        <v>40</v>
      </c>
      <c r="K19" s="9" t="s">
        <v>19</v>
      </c>
      <c r="L19" s="9" t="s">
        <v>20</v>
      </c>
      <c r="M19" s="9" t="s">
        <v>71</v>
      </c>
      <c r="N19" s="9" t="s">
        <v>74</v>
      </c>
    </row>
    <row r="20" spans="1:14" x14ac:dyDescent="0.25">
      <c r="A20" s="9" t="s">
        <v>153</v>
      </c>
      <c r="B20" s="9" t="s">
        <v>154</v>
      </c>
      <c r="C20" s="9" t="s">
        <v>155</v>
      </c>
      <c r="D20" s="9" t="s">
        <v>156</v>
      </c>
      <c r="E20" s="9" t="s">
        <v>69</v>
      </c>
      <c r="F20" s="9" t="s">
        <v>157</v>
      </c>
      <c r="G20" s="9" t="s">
        <v>71</v>
      </c>
      <c r="H20" s="9" t="s">
        <v>158</v>
      </c>
      <c r="I20" s="9" t="s">
        <v>73</v>
      </c>
      <c r="J20" s="9" t="s">
        <v>39</v>
      </c>
      <c r="K20" s="9" t="s">
        <v>19</v>
      </c>
      <c r="L20" s="9" t="s">
        <v>20</v>
      </c>
      <c r="M20" s="9" t="s">
        <v>71</v>
      </c>
      <c r="N20" s="9" t="s">
        <v>74</v>
      </c>
    </row>
    <row r="21" spans="1:14" x14ac:dyDescent="0.25">
      <c r="A21" s="9" t="s">
        <v>159</v>
      </c>
      <c r="B21" s="9" t="s">
        <v>160</v>
      </c>
      <c r="C21" s="9" t="s">
        <v>161</v>
      </c>
      <c r="D21" s="9" t="s">
        <v>162</v>
      </c>
      <c r="E21" s="9" t="s">
        <v>69</v>
      </c>
      <c r="F21" s="9" t="s">
        <v>163</v>
      </c>
      <c r="G21" s="9" t="s">
        <v>71</v>
      </c>
      <c r="H21" s="9" t="s">
        <v>164</v>
      </c>
      <c r="I21" s="9" t="s">
        <v>165</v>
      </c>
      <c r="J21" s="9" t="s">
        <v>39</v>
      </c>
      <c r="K21" s="9" t="s">
        <v>19</v>
      </c>
      <c r="L21" s="9" t="s">
        <v>48</v>
      </c>
      <c r="M21" s="9" t="s">
        <v>71</v>
      </c>
      <c r="N21" s="9" t="s">
        <v>166</v>
      </c>
    </row>
    <row r="22" spans="1:14" x14ac:dyDescent="0.25">
      <c r="A22" s="9" t="s">
        <v>167</v>
      </c>
      <c r="B22" s="9" t="s">
        <v>160</v>
      </c>
      <c r="C22" s="9" t="s">
        <v>161</v>
      </c>
      <c r="D22" s="9" t="s">
        <v>168</v>
      </c>
      <c r="E22" s="9" t="s">
        <v>115</v>
      </c>
      <c r="F22" s="9" t="s">
        <v>169</v>
      </c>
      <c r="G22" s="9" t="s">
        <v>170</v>
      </c>
      <c r="H22" s="9" t="s">
        <v>171</v>
      </c>
      <c r="I22" s="9" t="s">
        <v>73</v>
      </c>
      <c r="J22" s="9" t="s">
        <v>39</v>
      </c>
      <c r="K22" s="9" t="s">
        <v>19</v>
      </c>
      <c r="L22" s="9" t="s">
        <v>20</v>
      </c>
      <c r="M22" s="9" t="s">
        <v>71</v>
      </c>
      <c r="N22" s="9" t="s">
        <v>112</v>
      </c>
    </row>
    <row r="23" spans="1:14" x14ac:dyDescent="0.25">
      <c r="A23" s="9" t="s">
        <v>172</v>
      </c>
      <c r="B23" s="9" t="s">
        <v>160</v>
      </c>
      <c r="C23" s="9" t="s">
        <v>161</v>
      </c>
      <c r="D23" s="9" t="s">
        <v>173</v>
      </c>
      <c r="E23" s="9" t="s">
        <v>115</v>
      </c>
      <c r="F23" s="9" t="s">
        <v>174</v>
      </c>
      <c r="G23" s="9" t="s">
        <v>175</v>
      </c>
      <c r="H23" s="9" t="s">
        <v>176</v>
      </c>
      <c r="I23" s="9" t="s">
        <v>73</v>
      </c>
      <c r="J23" s="9" t="s">
        <v>40</v>
      </c>
      <c r="K23" s="9" t="s">
        <v>44</v>
      </c>
      <c r="L23" s="9" t="s">
        <v>20</v>
      </c>
      <c r="M23" s="9" t="s">
        <v>71</v>
      </c>
      <c r="N23" s="9" t="s">
        <v>112</v>
      </c>
    </row>
    <row r="24" spans="1:14" x14ac:dyDescent="0.25">
      <c r="A24" s="9" t="s">
        <v>177</v>
      </c>
      <c r="B24" s="9" t="s">
        <v>160</v>
      </c>
      <c r="C24" s="9" t="s">
        <v>161</v>
      </c>
      <c r="D24" s="9" t="s">
        <v>178</v>
      </c>
      <c r="E24" s="9" t="s">
        <v>115</v>
      </c>
      <c r="F24" s="9" t="s">
        <v>179</v>
      </c>
      <c r="G24" s="9" t="s">
        <v>71</v>
      </c>
      <c r="H24" s="9" t="s">
        <v>180</v>
      </c>
      <c r="I24" s="9" t="s">
        <v>73</v>
      </c>
      <c r="J24" s="9" t="s">
        <v>40</v>
      </c>
      <c r="K24" s="9" t="s">
        <v>44</v>
      </c>
      <c r="L24" s="9" t="s">
        <v>20</v>
      </c>
      <c r="M24" s="9" t="s">
        <v>71</v>
      </c>
      <c r="N24" s="9" t="s">
        <v>112</v>
      </c>
    </row>
    <row r="25" spans="1:14" x14ac:dyDescent="0.25">
      <c r="A25" s="9" t="s">
        <v>181</v>
      </c>
      <c r="B25" s="9" t="s">
        <v>182</v>
      </c>
      <c r="C25" s="9" t="s">
        <v>183</v>
      </c>
      <c r="D25" s="9" t="s">
        <v>184</v>
      </c>
      <c r="E25" s="9" t="s">
        <v>69</v>
      </c>
      <c r="F25" s="9" t="s">
        <v>185</v>
      </c>
      <c r="G25" s="9" t="s">
        <v>71</v>
      </c>
      <c r="H25" s="9" t="s">
        <v>186</v>
      </c>
      <c r="I25" s="9" t="s">
        <v>73</v>
      </c>
      <c r="J25" s="9" t="s">
        <v>37</v>
      </c>
      <c r="K25" s="9" t="s">
        <v>19</v>
      </c>
      <c r="L25" s="9" t="s">
        <v>20</v>
      </c>
      <c r="M25" s="9" t="s">
        <v>71</v>
      </c>
      <c r="N25" s="9" t="s">
        <v>74</v>
      </c>
    </row>
    <row r="26" spans="1:14" x14ac:dyDescent="0.25">
      <c r="A26" s="9" t="s">
        <v>187</v>
      </c>
      <c r="B26" s="9" t="s">
        <v>160</v>
      </c>
      <c r="C26" s="9" t="s">
        <v>161</v>
      </c>
      <c r="D26" s="9" t="s">
        <v>188</v>
      </c>
      <c r="E26" s="9" t="s">
        <v>115</v>
      </c>
      <c r="F26" s="9" t="s">
        <v>189</v>
      </c>
      <c r="G26" s="9" t="s">
        <v>71</v>
      </c>
      <c r="H26" s="9" t="s">
        <v>190</v>
      </c>
      <c r="I26" s="9" t="s">
        <v>73</v>
      </c>
      <c r="J26" s="9" t="s">
        <v>39</v>
      </c>
      <c r="K26" s="9" t="s">
        <v>19</v>
      </c>
      <c r="L26" s="9" t="s">
        <v>20</v>
      </c>
      <c r="M26" s="9" t="s">
        <v>71</v>
      </c>
      <c r="N26" s="9" t="s">
        <v>112</v>
      </c>
    </row>
    <row r="27" spans="1:14" x14ac:dyDescent="0.25">
      <c r="A27" s="9" t="s">
        <v>191</v>
      </c>
      <c r="B27" s="9" t="s">
        <v>192</v>
      </c>
      <c r="C27" s="9" t="s">
        <v>193</v>
      </c>
      <c r="D27" s="9" t="s">
        <v>194</v>
      </c>
      <c r="E27" s="9" t="s">
        <v>195</v>
      </c>
      <c r="F27" s="9" t="s">
        <v>196</v>
      </c>
      <c r="G27" s="9" t="s">
        <v>71</v>
      </c>
      <c r="H27" s="9" t="s">
        <v>197</v>
      </c>
      <c r="I27" s="9" t="s">
        <v>73</v>
      </c>
      <c r="J27" s="9" t="s">
        <v>42</v>
      </c>
      <c r="K27" s="9" t="s">
        <v>19</v>
      </c>
      <c r="L27" s="9" t="s">
        <v>20</v>
      </c>
      <c r="M27" s="9" t="s">
        <v>71</v>
      </c>
      <c r="N27" s="9" t="s">
        <v>112</v>
      </c>
    </row>
    <row r="28" spans="1:14" x14ac:dyDescent="0.25">
      <c r="A28" s="9" t="s">
        <v>198</v>
      </c>
      <c r="B28" s="9" t="s">
        <v>199</v>
      </c>
      <c r="C28" s="9" t="s">
        <v>200</v>
      </c>
      <c r="D28" s="9" t="s">
        <v>201</v>
      </c>
      <c r="E28" s="9" t="s">
        <v>69</v>
      </c>
      <c r="F28" s="9" t="s">
        <v>202</v>
      </c>
      <c r="G28" s="9" t="s">
        <v>203</v>
      </c>
      <c r="H28" s="9" t="s">
        <v>204</v>
      </c>
      <c r="I28" s="9" t="s">
        <v>73</v>
      </c>
      <c r="J28" s="9" t="s">
        <v>39</v>
      </c>
      <c r="K28" s="9" t="s">
        <v>19</v>
      </c>
      <c r="L28" s="9" t="s">
        <v>20</v>
      </c>
      <c r="M28" s="9" t="s">
        <v>71</v>
      </c>
      <c r="N28" s="9" t="s">
        <v>205</v>
      </c>
    </row>
    <row r="29" spans="1:14" x14ac:dyDescent="0.25">
      <c r="A29" s="9" t="s">
        <v>206</v>
      </c>
      <c r="B29" s="9" t="s">
        <v>199</v>
      </c>
      <c r="C29" s="9" t="s">
        <v>200</v>
      </c>
      <c r="D29" s="9" t="s">
        <v>207</v>
      </c>
      <c r="E29" s="9" t="s">
        <v>69</v>
      </c>
      <c r="F29" s="9" t="s">
        <v>208</v>
      </c>
      <c r="G29" s="9" t="s">
        <v>209</v>
      </c>
      <c r="H29" s="9" t="s">
        <v>210</v>
      </c>
      <c r="I29" s="9" t="s">
        <v>73</v>
      </c>
      <c r="J29" s="9" t="s">
        <v>39</v>
      </c>
      <c r="K29" s="9" t="s">
        <v>19</v>
      </c>
      <c r="L29" s="9" t="s">
        <v>20</v>
      </c>
      <c r="M29" s="9" t="s">
        <v>71</v>
      </c>
      <c r="N29" s="9" t="s">
        <v>205</v>
      </c>
    </row>
    <row r="30" spans="1:14" x14ac:dyDescent="0.25">
      <c r="A30" s="9" t="s">
        <v>211</v>
      </c>
      <c r="B30" s="9" t="s">
        <v>199</v>
      </c>
      <c r="C30" s="9" t="s">
        <v>200</v>
      </c>
      <c r="D30" s="9" t="s">
        <v>212</v>
      </c>
      <c r="E30" s="9" t="s">
        <v>69</v>
      </c>
      <c r="F30" s="9" t="s">
        <v>213</v>
      </c>
      <c r="G30" s="9" t="s">
        <v>214</v>
      </c>
      <c r="H30" s="9" t="s">
        <v>215</v>
      </c>
      <c r="I30" s="9" t="s">
        <v>73</v>
      </c>
      <c r="J30" s="9" t="s">
        <v>40</v>
      </c>
      <c r="K30" s="9" t="s">
        <v>44</v>
      </c>
      <c r="L30" s="9" t="s">
        <v>20</v>
      </c>
      <c r="M30" s="9" t="s">
        <v>71</v>
      </c>
      <c r="N30" s="9" t="s">
        <v>205</v>
      </c>
    </row>
    <row r="31" spans="1:14" x14ac:dyDescent="0.25">
      <c r="A31" s="9" t="s">
        <v>216</v>
      </c>
      <c r="B31" s="9" t="s">
        <v>199</v>
      </c>
      <c r="C31" s="9" t="s">
        <v>200</v>
      </c>
      <c r="D31" s="9" t="s">
        <v>217</v>
      </c>
      <c r="E31" s="9" t="s">
        <v>69</v>
      </c>
      <c r="F31" s="9" t="s">
        <v>218</v>
      </c>
      <c r="G31" s="9" t="s">
        <v>219</v>
      </c>
      <c r="H31" s="9" t="s">
        <v>220</v>
      </c>
      <c r="I31" s="9" t="s">
        <v>73</v>
      </c>
      <c r="J31" s="9" t="s">
        <v>39</v>
      </c>
      <c r="K31" s="9" t="s">
        <v>44</v>
      </c>
      <c r="L31" s="9" t="s">
        <v>20</v>
      </c>
      <c r="M31" s="9" t="s">
        <v>71</v>
      </c>
      <c r="N31" s="9" t="s">
        <v>205</v>
      </c>
    </row>
    <row r="32" spans="1:14" x14ac:dyDescent="0.25">
      <c r="A32" s="9" t="s">
        <v>221</v>
      </c>
      <c r="B32" s="9" t="s">
        <v>199</v>
      </c>
      <c r="C32" s="9" t="s">
        <v>200</v>
      </c>
      <c r="D32" s="9" t="s">
        <v>222</v>
      </c>
      <c r="E32" s="9" t="s">
        <v>69</v>
      </c>
      <c r="F32" s="9" t="s">
        <v>223</v>
      </c>
      <c r="G32" s="9" t="s">
        <v>224</v>
      </c>
      <c r="H32" s="9" t="s">
        <v>225</v>
      </c>
      <c r="I32" s="9" t="s">
        <v>73</v>
      </c>
      <c r="J32" s="9" t="s">
        <v>39</v>
      </c>
      <c r="K32" s="9" t="s">
        <v>44</v>
      </c>
      <c r="L32" s="9" t="s">
        <v>20</v>
      </c>
      <c r="M32" s="9" t="s">
        <v>71</v>
      </c>
      <c r="N32" s="9" t="s">
        <v>205</v>
      </c>
    </row>
    <row r="33" spans="1:14" x14ac:dyDescent="0.25">
      <c r="A33" s="9" t="s">
        <v>226</v>
      </c>
      <c r="B33" s="9" t="s">
        <v>227</v>
      </c>
      <c r="C33" s="9" t="s">
        <v>228</v>
      </c>
      <c r="D33" s="9" t="s">
        <v>229</v>
      </c>
      <c r="E33" s="9" t="s">
        <v>69</v>
      </c>
      <c r="F33" s="9" t="s">
        <v>230</v>
      </c>
      <c r="G33" s="9" t="s">
        <v>71</v>
      </c>
      <c r="H33" s="9" t="s">
        <v>231</v>
      </c>
      <c r="I33" s="9" t="s">
        <v>232</v>
      </c>
      <c r="J33" s="9" t="s">
        <v>39</v>
      </c>
      <c r="K33" s="9" t="s">
        <v>44</v>
      </c>
      <c r="L33" s="9" t="s">
        <v>21</v>
      </c>
      <c r="M33" s="9" t="s">
        <v>71</v>
      </c>
      <c r="N33" s="9" t="s">
        <v>205</v>
      </c>
    </row>
    <row r="34" spans="1:14" x14ac:dyDescent="0.25">
      <c r="A34" s="9" t="s">
        <v>233</v>
      </c>
      <c r="B34" s="9" t="s">
        <v>227</v>
      </c>
      <c r="C34" s="9" t="s">
        <v>228</v>
      </c>
      <c r="D34" s="9" t="s">
        <v>234</v>
      </c>
      <c r="E34" s="9" t="s">
        <v>69</v>
      </c>
      <c r="F34" s="9" t="s">
        <v>235</v>
      </c>
      <c r="G34" s="9" t="s">
        <v>71</v>
      </c>
      <c r="H34" s="9" t="s">
        <v>236</v>
      </c>
      <c r="I34" s="9" t="s">
        <v>73</v>
      </c>
      <c r="J34" s="9" t="s">
        <v>39</v>
      </c>
      <c r="K34" s="9" t="s">
        <v>44</v>
      </c>
      <c r="L34" s="9" t="s">
        <v>20</v>
      </c>
      <c r="M34" s="9" t="s">
        <v>71</v>
      </c>
      <c r="N34" s="9" t="s">
        <v>205</v>
      </c>
    </row>
    <row r="35" spans="1:14" x14ac:dyDescent="0.25">
      <c r="A35" s="9" t="s">
        <v>237</v>
      </c>
      <c r="B35" s="9" t="s">
        <v>227</v>
      </c>
      <c r="C35" s="9" t="s">
        <v>228</v>
      </c>
      <c r="D35" s="9" t="s">
        <v>238</v>
      </c>
      <c r="E35" s="9" t="s">
        <v>69</v>
      </c>
      <c r="F35" s="9" t="s">
        <v>239</v>
      </c>
      <c r="G35" s="9" t="s">
        <v>71</v>
      </c>
      <c r="H35" s="9" t="s">
        <v>240</v>
      </c>
      <c r="I35" s="9" t="s">
        <v>73</v>
      </c>
      <c r="J35" s="9" t="s">
        <v>39</v>
      </c>
      <c r="K35" s="9" t="s">
        <v>44</v>
      </c>
      <c r="L35" s="9" t="s">
        <v>20</v>
      </c>
      <c r="M35" s="9" t="s">
        <v>71</v>
      </c>
      <c r="N35" s="9" t="s">
        <v>205</v>
      </c>
    </row>
    <row r="36" spans="1:14" x14ac:dyDescent="0.25">
      <c r="A36" s="9" t="s">
        <v>241</v>
      </c>
      <c r="B36" s="9" t="s">
        <v>227</v>
      </c>
      <c r="C36" s="9" t="s">
        <v>228</v>
      </c>
      <c r="D36" s="9" t="s">
        <v>242</v>
      </c>
      <c r="E36" s="9" t="s">
        <v>69</v>
      </c>
      <c r="F36" s="9" t="s">
        <v>243</v>
      </c>
      <c r="G36" s="9" t="s">
        <v>244</v>
      </c>
      <c r="H36" s="9" t="s">
        <v>245</v>
      </c>
      <c r="I36" s="9" t="s">
        <v>73</v>
      </c>
      <c r="J36" s="9" t="s">
        <v>39</v>
      </c>
      <c r="K36" s="9" t="s">
        <v>44</v>
      </c>
      <c r="L36" s="9" t="s">
        <v>20</v>
      </c>
      <c r="M36" s="9" t="s">
        <v>71</v>
      </c>
      <c r="N36" s="9" t="s">
        <v>205</v>
      </c>
    </row>
    <row r="37" spans="1:14" x14ac:dyDescent="0.25">
      <c r="A37" s="9" t="s">
        <v>246</v>
      </c>
      <c r="B37" s="9" t="s">
        <v>227</v>
      </c>
      <c r="C37" s="9" t="s">
        <v>228</v>
      </c>
      <c r="D37" s="9" t="s">
        <v>247</v>
      </c>
      <c r="E37" s="9" t="s">
        <v>69</v>
      </c>
      <c r="F37" s="9" t="s">
        <v>248</v>
      </c>
      <c r="G37" s="9" t="s">
        <v>249</v>
      </c>
      <c r="H37" s="9" t="s">
        <v>250</v>
      </c>
      <c r="I37" s="9" t="s">
        <v>73</v>
      </c>
      <c r="J37" s="9" t="s">
        <v>39</v>
      </c>
      <c r="K37" s="9" t="s">
        <v>44</v>
      </c>
      <c r="L37" s="9" t="s">
        <v>20</v>
      </c>
      <c r="M37" s="9" t="s">
        <v>71</v>
      </c>
      <c r="N37" s="9" t="s">
        <v>205</v>
      </c>
    </row>
    <row r="38" spans="1:14" x14ac:dyDescent="0.25">
      <c r="A38" s="9" t="s">
        <v>251</v>
      </c>
      <c r="B38" s="9" t="s">
        <v>227</v>
      </c>
      <c r="C38" s="9" t="s">
        <v>228</v>
      </c>
      <c r="D38" s="9" t="s">
        <v>252</v>
      </c>
      <c r="E38" s="9" t="s">
        <v>69</v>
      </c>
      <c r="F38" s="9" t="s">
        <v>253</v>
      </c>
      <c r="G38" s="9" t="s">
        <v>71</v>
      </c>
      <c r="H38" s="9" t="s">
        <v>254</v>
      </c>
      <c r="I38" s="9" t="s">
        <v>73</v>
      </c>
      <c r="J38" s="9" t="s">
        <v>39</v>
      </c>
      <c r="K38" s="9" t="s">
        <v>44</v>
      </c>
      <c r="L38" s="9" t="s">
        <v>20</v>
      </c>
      <c r="M38" s="9" t="s">
        <v>71</v>
      </c>
      <c r="N38" s="9" t="s">
        <v>205</v>
      </c>
    </row>
    <row r="39" spans="1:14" x14ac:dyDescent="0.25">
      <c r="A39" s="9" t="s">
        <v>255</v>
      </c>
      <c r="B39" s="9" t="s">
        <v>256</v>
      </c>
      <c r="C39" s="9" t="s">
        <v>257</v>
      </c>
      <c r="D39" s="9" t="s">
        <v>258</v>
      </c>
      <c r="E39" s="9" t="s">
        <v>259</v>
      </c>
      <c r="F39" s="9" t="s">
        <v>260</v>
      </c>
      <c r="G39" s="9" t="s">
        <v>261</v>
      </c>
      <c r="H39" s="9" t="s">
        <v>262</v>
      </c>
      <c r="I39" s="9" t="s">
        <v>263</v>
      </c>
      <c r="J39" s="9" t="s">
        <v>39</v>
      </c>
      <c r="K39" s="9" t="s">
        <v>19</v>
      </c>
      <c r="L39" s="9" t="s">
        <v>21</v>
      </c>
      <c r="M39" s="9" t="s">
        <v>71</v>
      </c>
      <c r="N39" s="9" t="s">
        <v>112</v>
      </c>
    </row>
    <row r="40" spans="1:14" x14ac:dyDescent="0.25">
      <c r="A40" s="9" t="s">
        <v>264</v>
      </c>
      <c r="B40" s="9" t="s">
        <v>265</v>
      </c>
      <c r="C40" s="9" t="s">
        <v>266</v>
      </c>
      <c r="D40" s="9" t="s">
        <v>267</v>
      </c>
      <c r="E40" s="9" t="s">
        <v>69</v>
      </c>
      <c r="F40" s="9" t="s">
        <v>268</v>
      </c>
      <c r="G40" s="9" t="s">
        <v>269</v>
      </c>
      <c r="H40" s="9" t="s">
        <v>270</v>
      </c>
      <c r="I40" s="9" t="s">
        <v>271</v>
      </c>
      <c r="J40" s="9" t="s">
        <v>39</v>
      </c>
      <c r="K40" s="9" t="s">
        <v>19</v>
      </c>
      <c r="L40" s="9" t="s">
        <v>20</v>
      </c>
      <c r="M40" s="9" t="s">
        <v>71</v>
      </c>
      <c r="N40" s="9" t="s">
        <v>74</v>
      </c>
    </row>
    <row r="41" spans="1:14" x14ac:dyDescent="0.25">
      <c r="A41" s="9" t="s">
        <v>272</v>
      </c>
      <c r="B41" s="9" t="s">
        <v>273</v>
      </c>
      <c r="C41" s="9" t="s">
        <v>274</v>
      </c>
      <c r="D41" s="9" t="s">
        <v>275</v>
      </c>
      <c r="E41" s="9" t="s">
        <v>276</v>
      </c>
      <c r="F41" s="9" t="s">
        <v>277</v>
      </c>
      <c r="G41" s="9" t="s">
        <v>278</v>
      </c>
      <c r="H41" s="9" t="s">
        <v>279</v>
      </c>
      <c r="I41" s="9" t="s">
        <v>73</v>
      </c>
      <c r="J41" s="9" t="s">
        <v>39</v>
      </c>
      <c r="K41" s="9" t="s">
        <v>19</v>
      </c>
      <c r="L41" s="9" t="s">
        <v>20</v>
      </c>
      <c r="M41" s="9" t="s">
        <v>71</v>
      </c>
      <c r="N41" s="9" t="s">
        <v>112</v>
      </c>
    </row>
    <row r="42" spans="1:14" x14ac:dyDescent="0.25">
      <c r="A42" s="9" t="s">
        <v>280</v>
      </c>
      <c r="B42" s="9" t="s">
        <v>281</v>
      </c>
      <c r="C42" s="9" t="s">
        <v>282</v>
      </c>
      <c r="D42" s="9" t="s">
        <v>283</v>
      </c>
      <c r="E42" s="9" t="s">
        <v>195</v>
      </c>
      <c r="F42" s="9" t="s">
        <v>284</v>
      </c>
      <c r="G42" s="9" t="s">
        <v>285</v>
      </c>
      <c r="H42" s="9" t="s">
        <v>286</v>
      </c>
      <c r="I42" s="9" t="s">
        <v>287</v>
      </c>
      <c r="J42" s="9" t="s">
        <v>42</v>
      </c>
      <c r="K42" s="9" t="s">
        <v>19</v>
      </c>
      <c r="L42" s="9" t="s">
        <v>20</v>
      </c>
      <c r="M42" s="9" t="s">
        <v>71</v>
      </c>
      <c r="N42" s="9" t="s">
        <v>112</v>
      </c>
    </row>
    <row r="43" spans="1:14" x14ac:dyDescent="0.25">
      <c r="A43" s="9" t="s">
        <v>288</v>
      </c>
      <c r="B43" s="9" t="s">
        <v>256</v>
      </c>
      <c r="C43" s="9" t="s">
        <v>257</v>
      </c>
      <c r="D43" s="9" t="s">
        <v>289</v>
      </c>
      <c r="E43" s="9" t="s">
        <v>259</v>
      </c>
      <c r="F43" s="9" t="s">
        <v>290</v>
      </c>
      <c r="G43" s="9" t="s">
        <v>291</v>
      </c>
      <c r="H43" s="9" t="s">
        <v>292</v>
      </c>
      <c r="I43" s="9" t="s">
        <v>73</v>
      </c>
      <c r="J43" s="9" t="s">
        <v>40</v>
      </c>
      <c r="K43" s="9" t="s">
        <v>19</v>
      </c>
      <c r="L43" s="9" t="s">
        <v>20</v>
      </c>
      <c r="M43" s="9" t="s">
        <v>71</v>
      </c>
      <c r="N43" s="9" t="s">
        <v>112</v>
      </c>
    </row>
    <row r="44" spans="1:14" x14ac:dyDescent="0.25">
      <c r="A44" s="9" t="s">
        <v>293</v>
      </c>
      <c r="B44" s="9" t="s">
        <v>256</v>
      </c>
      <c r="C44" s="9" t="s">
        <v>257</v>
      </c>
      <c r="D44" s="9" t="s">
        <v>294</v>
      </c>
      <c r="E44" s="9" t="s">
        <v>276</v>
      </c>
      <c r="F44" s="9" t="s">
        <v>295</v>
      </c>
      <c r="G44" s="9" t="s">
        <v>71</v>
      </c>
      <c r="H44" s="9" t="s">
        <v>296</v>
      </c>
      <c r="I44" s="9" t="s">
        <v>297</v>
      </c>
      <c r="J44" s="9" t="s">
        <v>40</v>
      </c>
      <c r="K44" s="9" t="s">
        <v>44</v>
      </c>
      <c r="L44" s="9" t="s">
        <v>21</v>
      </c>
      <c r="M44" s="9" t="s">
        <v>71</v>
      </c>
      <c r="N44" s="9" t="s">
        <v>112</v>
      </c>
    </row>
    <row r="45" spans="1:14" x14ac:dyDescent="0.25">
      <c r="A45" s="9" t="s">
        <v>298</v>
      </c>
      <c r="B45" s="9" t="s">
        <v>256</v>
      </c>
      <c r="C45" s="9" t="s">
        <v>257</v>
      </c>
      <c r="D45" s="9" t="s">
        <v>299</v>
      </c>
      <c r="E45" s="9" t="s">
        <v>276</v>
      </c>
      <c r="F45" s="9" t="s">
        <v>300</v>
      </c>
      <c r="G45" s="9" t="s">
        <v>301</v>
      </c>
      <c r="H45" s="9" t="s">
        <v>302</v>
      </c>
      <c r="I45" s="9" t="s">
        <v>73</v>
      </c>
      <c r="J45" s="9" t="s">
        <v>42</v>
      </c>
      <c r="K45" s="9" t="s">
        <v>19</v>
      </c>
      <c r="L45" s="9" t="s">
        <v>20</v>
      </c>
      <c r="M45" s="9" t="s">
        <v>71</v>
      </c>
      <c r="N45" s="9" t="s">
        <v>112</v>
      </c>
    </row>
    <row r="46" spans="1:14" x14ac:dyDescent="0.25">
      <c r="A46" s="9" t="s">
        <v>303</v>
      </c>
      <c r="B46" s="9" t="s">
        <v>256</v>
      </c>
      <c r="C46" s="9" t="s">
        <v>257</v>
      </c>
      <c r="D46" s="9" t="s">
        <v>304</v>
      </c>
      <c r="E46" s="9" t="s">
        <v>276</v>
      </c>
      <c r="F46" s="9" t="s">
        <v>305</v>
      </c>
      <c r="G46" s="9" t="s">
        <v>71</v>
      </c>
      <c r="H46" s="9" t="s">
        <v>306</v>
      </c>
      <c r="I46" s="9" t="s">
        <v>73</v>
      </c>
      <c r="J46" s="9" t="s">
        <v>39</v>
      </c>
      <c r="K46" s="9" t="s">
        <v>44</v>
      </c>
      <c r="L46" s="9" t="s">
        <v>20</v>
      </c>
      <c r="M46" s="9" t="s">
        <v>71</v>
      </c>
      <c r="N46" s="9" t="s">
        <v>112</v>
      </c>
    </row>
    <row r="47" spans="1:14" x14ac:dyDescent="0.25">
      <c r="A47" s="9" t="s">
        <v>307</v>
      </c>
      <c r="B47" s="9" t="s">
        <v>308</v>
      </c>
      <c r="C47" s="9" t="s">
        <v>309</v>
      </c>
      <c r="D47" s="9" t="s">
        <v>310</v>
      </c>
      <c r="E47" s="9" t="s">
        <v>69</v>
      </c>
      <c r="F47" s="9" t="s">
        <v>311</v>
      </c>
      <c r="G47" s="9" t="s">
        <v>71</v>
      </c>
      <c r="H47" s="9" t="s">
        <v>312</v>
      </c>
      <c r="I47" s="9" t="s">
        <v>73</v>
      </c>
      <c r="J47" s="9" t="s">
        <v>39</v>
      </c>
      <c r="K47" s="9" t="s">
        <v>19</v>
      </c>
      <c r="L47" s="9" t="s">
        <v>20</v>
      </c>
      <c r="M47" s="9" t="s">
        <v>71</v>
      </c>
      <c r="N47" s="9" t="s">
        <v>112</v>
      </c>
    </row>
    <row r="48" spans="1:14" x14ac:dyDescent="0.25">
      <c r="A48" s="9" t="s">
        <v>313</v>
      </c>
      <c r="B48" s="9" t="s">
        <v>308</v>
      </c>
      <c r="C48" s="9" t="s">
        <v>309</v>
      </c>
      <c r="D48" s="9" t="s">
        <v>314</v>
      </c>
      <c r="E48" s="9" t="s">
        <v>315</v>
      </c>
      <c r="F48" s="9" t="s">
        <v>316</v>
      </c>
      <c r="G48" s="9" t="s">
        <v>71</v>
      </c>
      <c r="H48" s="9" t="s">
        <v>317</v>
      </c>
      <c r="I48" s="9" t="s">
        <v>73</v>
      </c>
      <c r="J48" s="9" t="s">
        <v>38</v>
      </c>
      <c r="K48" s="9" t="s">
        <v>19</v>
      </c>
      <c r="L48" s="9" t="s">
        <v>20</v>
      </c>
      <c r="M48" s="9" t="s">
        <v>71</v>
      </c>
      <c r="N48" s="9" t="s">
        <v>112</v>
      </c>
    </row>
    <row r="49" spans="1:14" x14ac:dyDescent="0.25">
      <c r="A49" s="9" t="s">
        <v>318</v>
      </c>
      <c r="B49" s="9" t="s">
        <v>308</v>
      </c>
      <c r="C49" s="9" t="s">
        <v>309</v>
      </c>
      <c r="D49" s="9" t="s">
        <v>319</v>
      </c>
      <c r="E49" s="9" t="s">
        <v>315</v>
      </c>
      <c r="F49" s="9" t="s">
        <v>320</v>
      </c>
      <c r="G49" s="9" t="s">
        <v>71</v>
      </c>
      <c r="H49" s="9" t="s">
        <v>321</v>
      </c>
      <c r="I49" s="9" t="s">
        <v>73</v>
      </c>
      <c r="J49" s="9" t="s">
        <v>40</v>
      </c>
      <c r="K49" s="9" t="s">
        <v>19</v>
      </c>
      <c r="L49" s="9" t="s">
        <v>20</v>
      </c>
      <c r="M49" s="9" t="s">
        <v>71</v>
      </c>
      <c r="N49" s="9" t="s">
        <v>112</v>
      </c>
    </row>
    <row r="50" spans="1:14" x14ac:dyDescent="0.25">
      <c r="A50" s="9" t="s">
        <v>322</v>
      </c>
      <c r="B50" s="9" t="s">
        <v>308</v>
      </c>
      <c r="C50" s="9" t="s">
        <v>309</v>
      </c>
      <c r="D50" s="9" t="s">
        <v>323</v>
      </c>
      <c r="E50" s="9" t="s">
        <v>324</v>
      </c>
      <c r="F50" s="9" t="s">
        <v>325</v>
      </c>
      <c r="G50" s="9" t="s">
        <v>71</v>
      </c>
      <c r="H50" s="9" t="s">
        <v>326</v>
      </c>
      <c r="I50" s="9" t="s">
        <v>73</v>
      </c>
      <c r="J50" s="9" t="s">
        <v>39</v>
      </c>
      <c r="K50" s="9" t="s">
        <v>19</v>
      </c>
      <c r="L50" s="9" t="s">
        <v>20</v>
      </c>
      <c r="M50" s="9" t="s">
        <v>71</v>
      </c>
      <c r="N50" s="9" t="s">
        <v>112</v>
      </c>
    </row>
    <row r="51" spans="1:14" x14ac:dyDescent="0.25">
      <c r="A51" s="9" t="s">
        <v>327</v>
      </c>
      <c r="B51" s="9" t="s">
        <v>308</v>
      </c>
      <c r="C51" s="9" t="s">
        <v>309</v>
      </c>
      <c r="D51" s="9" t="s">
        <v>328</v>
      </c>
      <c r="E51" s="9" t="s">
        <v>324</v>
      </c>
      <c r="F51" s="9" t="s">
        <v>329</v>
      </c>
      <c r="G51" s="9" t="s">
        <v>71</v>
      </c>
      <c r="H51" s="9" t="s">
        <v>330</v>
      </c>
      <c r="I51" s="9" t="s">
        <v>73</v>
      </c>
      <c r="J51" s="9" t="s">
        <v>41</v>
      </c>
      <c r="K51" s="9" t="s">
        <v>19</v>
      </c>
      <c r="L51" s="9" t="s">
        <v>20</v>
      </c>
      <c r="M51" s="9" t="s">
        <v>71</v>
      </c>
      <c r="N51" s="9" t="s">
        <v>112</v>
      </c>
    </row>
    <row r="52" spans="1:14" x14ac:dyDescent="0.25">
      <c r="A52" s="9" t="s">
        <v>331</v>
      </c>
      <c r="B52" s="9" t="s">
        <v>308</v>
      </c>
      <c r="C52" s="9" t="s">
        <v>309</v>
      </c>
      <c r="D52" s="9" t="s">
        <v>332</v>
      </c>
      <c r="E52" s="9" t="s">
        <v>324</v>
      </c>
      <c r="F52" s="9" t="s">
        <v>333</v>
      </c>
      <c r="G52" s="9" t="s">
        <v>71</v>
      </c>
      <c r="H52" s="9" t="s">
        <v>334</v>
      </c>
      <c r="I52" s="9" t="s">
        <v>73</v>
      </c>
      <c r="J52" s="9" t="s">
        <v>39</v>
      </c>
      <c r="K52" s="9" t="s">
        <v>19</v>
      </c>
      <c r="L52" s="9" t="s">
        <v>20</v>
      </c>
      <c r="M52" s="9" t="s">
        <v>71</v>
      </c>
      <c r="N52" s="9" t="s">
        <v>112</v>
      </c>
    </row>
    <row r="53" spans="1:14" x14ac:dyDescent="0.25">
      <c r="A53" s="9" t="s">
        <v>335</v>
      </c>
      <c r="B53" s="9" t="s">
        <v>308</v>
      </c>
      <c r="C53" s="9" t="s">
        <v>309</v>
      </c>
      <c r="D53" s="9" t="s">
        <v>336</v>
      </c>
      <c r="E53" s="9" t="s">
        <v>324</v>
      </c>
      <c r="F53" s="9" t="s">
        <v>337</v>
      </c>
      <c r="G53" s="9" t="s">
        <v>338</v>
      </c>
      <c r="H53" s="9" t="s">
        <v>339</v>
      </c>
      <c r="I53" s="9" t="s">
        <v>340</v>
      </c>
      <c r="J53" s="9" t="s">
        <v>40</v>
      </c>
      <c r="K53" s="9" t="s">
        <v>19</v>
      </c>
      <c r="L53" s="9" t="s">
        <v>20</v>
      </c>
      <c r="M53" s="9" t="s">
        <v>71</v>
      </c>
      <c r="N53" s="9" t="s">
        <v>112</v>
      </c>
    </row>
    <row r="54" spans="1:14" x14ac:dyDescent="0.25">
      <c r="A54" s="9" t="s">
        <v>341</v>
      </c>
      <c r="B54" s="9" t="s">
        <v>308</v>
      </c>
      <c r="C54" s="9" t="s">
        <v>309</v>
      </c>
      <c r="D54" s="9" t="s">
        <v>342</v>
      </c>
      <c r="E54" s="9" t="s">
        <v>343</v>
      </c>
      <c r="F54" s="9" t="s">
        <v>344</v>
      </c>
      <c r="G54" s="9" t="s">
        <v>71</v>
      </c>
      <c r="H54" s="9" t="s">
        <v>345</v>
      </c>
      <c r="I54" s="9" t="s">
        <v>73</v>
      </c>
      <c r="J54" s="9" t="s">
        <v>41</v>
      </c>
      <c r="K54" s="9" t="s">
        <v>44</v>
      </c>
      <c r="L54" s="9" t="s">
        <v>20</v>
      </c>
      <c r="M54" s="9" t="s">
        <v>71</v>
      </c>
      <c r="N54" s="9" t="s">
        <v>112</v>
      </c>
    </row>
    <row r="55" spans="1:14" x14ac:dyDescent="0.25">
      <c r="A55" s="9" t="s">
        <v>346</v>
      </c>
      <c r="B55" s="9" t="s">
        <v>347</v>
      </c>
      <c r="C55" s="9" t="s">
        <v>348</v>
      </c>
      <c r="D55" s="9" t="s">
        <v>349</v>
      </c>
      <c r="E55" s="9" t="s">
        <v>69</v>
      </c>
      <c r="F55" s="9" t="s">
        <v>350</v>
      </c>
      <c r="G55" s="9" t="s">
        <v>71</v>
      </c>
      <c r="H55" s="9" t="s">
        <v>351</v>
      </c>
      <c r="I55" s="9" t="s">
        <v>73</v>
      </c>
      <c r="J55" s="9" t="s">
        <v>39</v>
      </c>
      <c r="K55" s="9" t="s">
        <v>44</v>
      </c>
      <c r="L55" s="9" t="s">
        <v>20</v>
      </c>
      <c r="M55" s="9" t="s">
        <v>71</v>
      </c>
      <c r="N55" s="9" t="s">
        <v>74</v>
      </c>
    </row>
    <row r="56" spans="1:14" x14ac:dyDescent="0.25">
      <c r="A56" s="9" t="s">
        <v>352</v>
      </c>
      <c r="B56" s="9" t="s">
        <v>347</v>
      </c>
      <c r="C56" s="9" t="s">
        <v>348</v>
      </c>
      <c r="D56" s="9" t="s">
        <v>353</v>
      </c>
      <c r="E56" s="9" t="s">
        <v>195</v>
      </c>
      <c r="F56" s="9" t="s">
        <v>354</v>
      </c>
      <c r="G56" s="9" t="s">
        <v>71</v>
      </c>
      <c r="H56" s="9" t="s">
        <v>355</v>
      </c>
      <c r="I56" s="9" t="s">
        <v>73</v>
      </c>
      <c r="J56" s="9" t="s">
        <v>42</v>
      </c>
      <c r="K56" s="9" t="s">
        <v>19</v>
      </c>
      <c r="L56" s="9" t="s">
        <v>20</v>
      </c>
      <c r="M56" s="9" t="s">
        <v>71</v>
      </c>
      <c r="N56" s="9" t="s">
        <v>112</v>
      </c>
    </row>
    <row r="57" spans="1:14" x14ac:dyDescent="0.25">
      <c r="A57" s="9" t="s">
        <v>356</v>
      </c>
      <c r="B57" s="9" t="s">
        <v>347</v>
      </c>
      <c r="C57" s="9" t="s">
        <v>348</v>
      </c>
      <c r="D57" s="9" t="s">
        <v>357</v>
      </c>
      <c r="E57" s="9" t="s">
        <v>195</v>
      </c>
      <c r="F57" s="9" t="s">
        <v>358</v>
      </c>
      <c r="G57" s="9" t="s">
        <v>71</v>
      </c>
      <c r="H57" s="9" t="s">
        <v>359</v>
      </c>
      <c r="I57" s="9" t="s">
        <v>73</v>
      </c>
      <c r="J57" s="9" t="s">
        <v>39</v>
      </c>
      <c r="K57" s="9" t="s">
        <v>44</v>
      </c>
      <c r="L57" s="9" t="s">
        <v>20</v>
      </c>
      <c r="M57" s="9" t="s">
        <v>71</v>
      </c>
      <c r="N57" s="9" t="s">
        <v>112</v>
      </c>
    </row>
    <row r="58" spans="1:14" x14ac:dyDescent="0.25">
      <c r="A58" s="9" t="s">
        <v>360</v>
      </c>
      <c r="B58" s="9" t="s">
        <v>361</v>
      </c>
      <c r="C58" s="9" t="s">
        <v>362</v>
      </c>
      <c r="D58" s="9" t="s">
        <v>363</v>
      </c>
      <c r="E58" s="9" t="s">
        <v>364</v>
      </c>
      <c r="F58" s="9" t="s">
        <v>365</v>
      </c>
      <c r="G58" s="9" t="s">
        <v>366</v>
      </c>
      <c r="H58" s="9" t="s">
        <v>367</v>
      </c>
      <c r="I58" s="9" t="s">
        <v>73</v>
      </c>
      <c r="J58" s="9" t="s">
        <v>42</v>
      </c>
      <c r="K58" s="9" t="s">
        <v>19</v>
      </c>
      <c r="L58" s="9" t="s">
        <v>20</v>
      </c>
      <c r="M58" s="9" t="s">
        <v>71</v>
      </c>
      <c r="N58" s="9" t="s">
        <v>368</v>
      </c>
    </row>
    <row r="59" spans="1:14" x14ac:dyDescent="0.25">
      <c r="A59" s="9" t="s">
        <v>369</v>
      </c>
      <c r="B59" s="9" t="s">
        <v>370</v>
      </c>
      <c r="C59" s="9" t="s">
        <v>371</v>
      </c>
      <c r="D59" s="9" t="s">
        <v>372</v>
      </c>
      <c r="E59" s="9" t="s">
        <v>373</v>
      </c>
      <c r="F59" s="9" t="s">
        <v>374</v>
      </c>
      <c r="G59" s="9" t="s">
        <v>71</v>
      </c>
      <c r="H59" s="9" t="s">
        <v>375</v>
      </c>
      <c r="I59" s="9" t="s">
        <v>73</v>
      </c>
      <c r="J59" s="9" t="s">
        <v>42</v>
      </c>
      <c r="K59" s="9" t="s">
        <v>19</v>
      </c>
      <c r="L59" s="9" t="s">
        <v>20</v>
      </c>
      <c r="M59" s="9" t="s">
        <v>71</v>
      </c>
      <c r="N59" s="9" t="s">
        <v>368</v>
      </c>
    </row>
    <row r="60" spans="1:14" x14ac:dyDescent="0.25">
      <c r="A60" s="9" t="s">
        <v>376</v>
      </c>
      <c r="B60" s="9" t="s">
        <v>370</v>
      </c>
      <c r="C60" s="9" t="s">
        <v>371</v>
      </c>
      <c r="D60" s="9" t="s">
        <v>377</v>
      </c>
      <c r="E60" s="9" t="s">
        <v>378</v>
      </c>
      <c r="F60" s="9" t="s">
        <v>379</v>
      </c>
      <c r="G60" s="9" t="s">
        <v>380</v>
      </c>
      <c r="H60" s="9" t="s">
        <v>381</v>
      </c>
      <c r="I60" s="9" t="s">
        <v>382</v>
      </c>
      <c r="J60" s="9" t="s">
        <v>42</v>
      </c>
      <c r="K60" s="9" t="s">
        <v>19</v>
      </c>
      <c r="L60" s="9" t="s">
        <v>48</v>
      </c>
      <c r="M60" s="9" t="s">
        <v>71</v>
      </c>
      <c r="N60" s="9" t="s">
        <v>383</v>
      </c>
    </row>
    <row r="61" spans="1:14" x14ac:dyDescent="0.25">
      <c r="A61" s="9" t="s">
        <v>384</v>
      </c>
      <c r="B61" s="9" t="s">
        <v>154</v>
      </c>
      <c r="C61" s="9" t="s">
        <v>155</v>
      </c>
      <c r="D61" s="9" t="s">
        <v>385</v>
      </c>
      <c r="E61" s="9" t="s">
        <v>69</v>
      </c>
      <c r="F61" s="9" t="s">
        <v>386</v>
      </c>
      <c r="G61" s="9" t="s">
        <v>387</v>
      </c>
      <c r="H61" s="9" t="s">
        <v>388</v>
      </c>
      <c r="I61" s="9" t="s">
        <v>389</v>
      </c>
      <c r="J61" s="9" t="s">
        <v>40</v>
      </c>
      <c r="K61" s="9" t="s">
        <v>44</v>
      </c>
      <c r="L61" s="9" t="s">
        <v>21</v>
      </c>
      <c r="M61" s="9" t="s">
        <v>71</v>
      </c>
      <c r="N61" s="9" t="s">
        <v>74</v>
      </c>
    </row>
    <row r="62" spans="1:14" x14ac:dyDescent="0.25">
      <c r="A62" s="9" t="s">
        <v>390</v>
      </c>
      <c r="B62" s="9" t="s">
        <v>66</v>
      </c>
      <c r="C62" s="9" t="s">
        <v>67</v>
      </c>
      <c r="D62" s="9" t="s">
        <v>391</v>
      </c>
      <c r="E62" s="9" t="s">
        <v>69</v>
      </c>
      <c r="F62" s="9" t="s">
        <v>392</v>
      </c>
      <c r="G62" s="9" t="s">
        <v>71</v>
      </c>
      <c r="H62" s="9" t="s">
        <v>393</v>
      </c>
      <c r="I62" s="9" t="s">
        <v>73</v>
      </c>
      <c r="J62" s="9" t="s">
        <v>38</v>
      </c>
      <c r="K62" s="9" t="s">
        <v>19</v>
      </c>
      <c r="L62" s="9" t="s">
        <v>20</v>
      </c>
      <c r="M62" s="9" t="s">
        <v>71</v>
      </c>
      <c r="N62" s="9" t="s">
        <v>394</v>
      </c>
    </row>
    <row r="63" spans="1:14" x14ac:dyDescent="0.25">
      <c r="A63" s="9" t="s">
        <v>395</v>
      </c>
      <c r="B63" s="9" t="s">
        <v>66</v>
      </c>
      <c r="C63" s="9" t="s">
        <v>67</v>
      </c>
      <c r="D63" s="9" t="s">
        <v>396</v>
      </c>
      <c r="E63" s="9" t="s">
        <v>69</v>
      </c>
      <c r="F63" s="9" t="s">
        <v>397</v>
      </c>
      <c r="G63" s="9" t="s">
        <v>71</v>
      </c>
      <c r="H63" s="9" t="s">
        <v>398</v>
      </c>
      <c r="I63" s="9" t="s">
        <v>73</v>
      </c>
      <c r="J63" s="9" t="s">
        <v>41</v>
      </c>
      <c r="K63" s="9" t="s">
        <v>19</v>
      </c>
      <c r="L63" s="9" t="s">
        <v>20</v>
      </c>
      <c r="M63" s="9" t="s">
        <v>71</v>
      </c>
      <c r="N63" s="9" t="s">
        <v>394</v>
      </c>
    </row>
    <row r="64" spans="1:14" x14ac:dyDescent="0.25">
      <c r="A64" s="9" t="s">
        <v>399</v>
      </c>
      <c r="B64" s="9" t="s">
        <v>66</v>
      </c>
      <c r="C64" s="9" t="s">
        <v>67</v>
      </c>
      <c r="D64" s="9" t="s">
        <v>400</v>
      </c>
      <c r="E64" s="9" t="s">
        <v>69</v>
      </c>
      <c r="F64" s="9" t="s">
        <v>401</v>
      </c>
      <c r="G64" s="9" t="s">
        <v>71</v>
      </c>
      <c r="H64" s="9" t="s">
        <v>402</v>
      </c>
      <c r="I64" s="9" t="s">
        <v>73</v>
      </c>
      <c r="J64" s="9" t="s">
        <v>41</v>
      </c>
      <c r="K64" s="9" t="s">
        <v>19</v>
      </c>
      <c r="L64" s="9" t="s">
        <v>20</v>
      </c>
      <c r="M64" s="9" t="s">
        <v>71</v>
      </c>
      <c r="N64" s="9" t="s">
        <v>394</v>
      </c>
    </row>
    <row r="65" spans="1:14" x14ac:dyDescent="0.25">
      <c r="A65" s="9" t="s">
        <v>403</v>
      </c>
      <c r="B65" s="9" t="s">
        <v>66</v>
      </c>
      <c r="C65" s="9" t="s">
        <v>67</v>
      </c>
      <c r="D65" s="9" t="s">
        <v>404</v>
      </c>
      <c r="E65" s="9" t="s">
        <v>69</v>
      </c>
      <c r="F65" s="9" t="s">
        <v>405</v>
      </c>
      <c r="G65" s="9" t="s">
        <v>71</v>
      </c>
      <c r="H65" s="9" t="s">
        <v>406</v>
      </c>
      <c r="I65" s="9" t="s">
        <v>73</v>
      </c>
      <c r="J65" s="9" t="s">
        <v>38</v>
      </c>
      <c r="K65" s="9" t="s">
        <v>44</v>
      </c>
      <c r="L65" s="9" t="s">
        <v>20</v>
      </c>
      <c r="M65" s="9" t="s">
        <v>71</v>
      </c>
      <c r="N65" s="9" t="s">
        <v>394</v>
      </c>
    </row>
    <row r="66" spans="1:14" x14ac:dyDescent="0.25">
      <c r="A66" s="9" t="s">
        <v>407</v>
      </c>
      <c r="B66" s="9" t="s">
        <v>66</v>
      </c>
      <c r="C66" s="9" t="s">
        <v>67</v>
      </c>
      <c r="D66" s="9" t="s">
        <v>408</v>
      </c>
      <c r="E66" s="9" t="s">
        <v>69</v>
      </c>
      <c r="F66" s="9" t="s">
        <v>409</v>
      </c>
      <c r="G66" s="9" t="s">
        <v>410</v>
      </c>
      <c r="H66" s="9" t="s">
        <v>411</v>
      </c>
      <c r="I66" s="9" t="s">
        <v>73</v>
      </c>
      <c r="J66" s="9" t="s">
        <v>41</v>
      </c>
      <c r="K66" s="9" t="s">
        <v>19</v>
      </c>
      <c r="L66" s="9" t="s">
        <v>20</v>
      </c>
      <c r="M66" s="9" t="s">
        <v>71</v>
      </c>
      <c r="N66" s="9" t="s">
        <v>394</v>
      </c>
    </row>
    <row r="67" spans="1:14" x14ac:dyDescent="0.25">
      <c r="A67" s="9" t="s">
        <v>412</v>
      </c>
      <c r="B67" s="9" t="s">
        <v>66</v>
      </c>
      <c r="C67" s="9" t="s">
        <v>67</v>
      </c>
      <c r="D67" s="9" t="s">
        <v>413</v>
      </c>
      <c r="E67" s="9" t="s">
        <v>69</v>
      </c>
      <c r="F67" s="9" t="s">
        <v>414</v>
      </c>
      <c r="G67" s="9" t="s">
        <v>71</v>
      </c>
      <c r="H67" s="9" t="s">
        <v>415</v>
      </c>
      <c r="I67" s="9" t="s">
        <v>73</v>
      </c>
      <c r="J67" s="9" t="s">
        <v>41</v>
      </c>
      <c r="K67" s="9" t="s">
        <v>44</v>
      </c>
      <c r="L67" s="9" t="s">
        <v>20</v>
      </c>
      <c r="M67" s="9" t="s">
        <v>71</v>
      </c>
      <c r="N67" s="9" t="s">
        <v>394</v>
      </c>
    </row>
    <row r="68" spans="1:14" x14ac:dyDescent="0.25">
      <c r="A68" s="9" t="s">
        <v>416</v>
      </c>
      <c r="B68" s="9" t="s">
        <v>66</v>
      </c>
      <c r="C68" s="9" t="s">
        <v>67</v>
      </c>
      <c r="D68" s="9" t="s">
        <v>417</v>
      </c>
      <c r="E68" s="9" t="s">
        <v>69</v>
      </c>
      <c r="F68" s="9" t="s">
        <v>418</v>
      </c>
      <c r="G68" s="9" t="s">
        <v>71</v>
      </c>
      <c r="H68" s="9" t="s">
        <v>419</v>
      </c>
      <c r="I68" s="9" t="s">
        <v>73</v>
      </c>
      <c r="J68" s="9" t="s">
        <v>41</v>
      </c>
      <c r="K68" s="9" t="s">
        <v>44</v>
      </c>
      <c r="L68" s="9" t="s">
        <v>20</v>
      </c>
      <c r="M68" s="9" t="s">
        <v>71</v>
      </c>
      <c r="N68" s="9" t="s">
        <v>394</v>
      </c>
    </row>
    <row r="69" spans="1:14" x14ac:dyDescent="0.25">
      <c r="A69" s="9" t="s">
        <v>420</v>
      </c>
      <c r="B69" s="9" t="s">
        <v>154</v>
      </c>
      <c r="C69" s="9" t="s">
        <v>155</v>
      </c>
      <c r="D69" s="9" t="s">
        <v>421</v>
      </c>
      <c r="E69" s="9" t="s">
        <v>69</v>
      </c>
      <c r="F69" s="9" t="s">
        <v>422</v>
      </c>
      <c r="G69" s="9" t="s">
        <v>423</v>
      </c>
      <c r="H69" s="9" t="s">
        <v>424</v>
      </c>
      <c r="I69" s="9" t="s">
        <v>73</v>
      </c>
      <c r="J69" s="9" t="s">
        <v>37</v>
      </c>
      <c r="K69" s="9" t="s">
        <v>19</v>
      </c>
      <c r="L69" s="9" t="s">
        <v>20</v>
      </c>
      <c r="M69" s="9" t="s">
        <v>71</v>
      </c>
      <c r="N69" s="9" t="s">
        <v>394</v>
      </c>
    </row>
    <row r="70" spans="1:14" x14ac:dyDescent="0.25">
      <c r="A70" s="9" t="s">
        <v>425</v>
      </c>
      <c r="B70" s="9" t="s">
        <v>199</v>
      </c>
      <c r="C70" s="9" t="s">
        <v>200</v>
      </c>
      <c r="D70" s="9" t="s">
        <v>426</v>
      </c>
      <c r="E70" s="9" t="s">
        <v>69</v>
      </c>
      <c r="F70" s="9" t="s">
        <v>427</v>
      </c>
      <c r="G70" s="9" t="s">
        <v>428</v>
      </c>
      <c r="H70" s="9" t="s">
        <v>429</v>
      </c>
      <c r="I70" s="9" t="s">
        <v>73</v>
      </c>
      <c r="J70" s="9" t="s">
        <v>39</v>
      </c>
      <c r="K70" s="9" t="s">
        <v>19</v>
      </c>
      <c r="L70" s="9" t="s">
        <v>20</v>
      </c>
      <c r="M70" s="9" t="s">
        <v>71</v>
      </c>
      <c r="N70" s="9" t="s">
        <v>394</v>
      </c>
    </row>
    <row r="71" spans="1:14" x14ac:dyDescent="0.25">
      <c r="A71" s="9" t="s">
        <v>430</v>
      </c>
      <c r="B71" s="9" t="s">
        <v>66</v>
      </c>
      <c r="C71" s="9" t="s">
        <v>67</v>
      </c>
      <c r="D71" s="9" t="s">
        <v>431</v>
      </c>
      <c r="E71" s="9" t="s">
        <v>69</v>
      </c>
      <c r="F71" s="9" t="s">
        <v>432</v>
      </c>
      <c r="G71" s="9" t="s">
        <v>428</v>
      </c>
      <c r="H71" s="9" t="s">
        <v>433</v>
      </c>
      <c r="I71" s="9" t="s">
        <v>73</v>
      </c>
      <c r="J71" s="9" t="s">
        <v>39</v>
      </c>
      <c r="K71" s="9" t="s">
        <v>44</v>
      </c>
      <c r="L71" s="9" t="s">
        <v>20</v>
      </c>
      <c r="M71" s="9" t="s">
        <v>71</v>
      </c>
      <c r="N71" s="9" t="s">
        <v>394</v>
      </c>
    </row>
    <row r="72" spans="1:14" x14ac:dyDescent="0.25">
      <c r="A72" s="9" t="s">
        <v>434</v>
      </c>
      <c r="B72" s="9" t="s">
        <v>227</v>
      </c>
      <c r="C72" s="9" t="s">
        <v>228</v>
      </c>
      <c r="D72" s="9" t="s">
        <v>435</v>
      </c>
      <c r="E72" s="9" t="s">
        <v>69</v>
      </c>
      <c r="F72" s="9" t="s">
        <v>436</v>
      </c>
      <c r="G72" s="9" t="s">
        <v>71</v>
      </c>
      <c r="H72" s="9" t="s">
        <v>437</v>
      </c>
      <c r="I72" s="9" t="s">
        <v>73</v>
      </c>
      <c r="J72" s="9" t="s">
        <v>39</v>
      </c>
      <c r="K72" s="9" t="s">
        <v>44</v>
      </c>
      <c r="L72" s="9" t="s">
        <v>20</v>
      </c>
      <c r="M72" s="9" t="s">
        <v>71</v>
      </c>
      <c r="N72" s="9" t="s">
        <v>394</v>
      </c>
    </row>
    <row r="73" spans="1:14" x14ac:dyDescent="0.25">
      <c r="A73" s="9" t="s">
        <v>438</v>
      </c>
      <c r="B73" s="9" t="s">
        <v>256</v>
      </c>
      <c r="C73" s="9" t="s">
        <v>257</v>
      </c>
      <c r="D73" s="9" t="s">
        <v>439</v>
      </c>
      <c r="E73" s="9" t="s">
        <v>69</v>
      </c>
      <c r="F73" s="9" t="s">
        <v>440</v>
      </c>
      <c r="G73" s="9" t="s">
        <v>441</v>
      </c>
      <c r="H73" s="9" t="s">
        <v>442</v>
      </c>
      <c r="I73" s="9" t="s">
        <v>73</v>
      </c>
      <c r="J73" s="9" t="s">
        <v>39</v>
      </c>
      <c r="K73" s="9" t="s">
        <v>44</v>
      </c>
      <c r="L73" s="9" t="s">
        <v>20</v>
      </c>
      <c r="M73" s="9" t="s">
        <v>71</v>
      </c>
      <c r="N73" s="9" t="s">
        <v>394</v>
      </c>
    </row>
    <row r="74" spans="1:14" x14ac:dyDescent="0.25">
      <c r="A74" s="9" t="s">
        <v>443</v>
      </c>
      <c r="B74" s="9" t="s">
        <v>273</v>
      </c>
      <c r="C74" s="9" t="s">
        <v>274</v>
      </c>
      <c r="D74" s="9" t="s">
        <v>444</v>
      </c>
      <c r="E74" s="9" t="s">
        <v>69</v>
      </c>
      <c r="F74" s="9" t="s">
        <v>445</v>
      </c>
      <c r="G74" s="9" t="s">
        <v>423</v>
      </c>
      <c r="H74" s="9" t="s">
        <v>446</v>
      </c>
      <c r="I74" s="9" t="s">
        <v>73</v>
      </c>
      <c r="J74" s="9" t="s">
        <v>40</v>
      </c>
      <c r="K74" s="9" t="s">
        <v>44</v>
      </c>
      <c r="L74" s="9" t="s">
        <v>20</v>
      </c>
      <c r="M74" s="9" t="s">
        <v>71</v>
      </c>
      <c r="N74" s="9" t="s">
        <v>394</v>
      </c>
    </row>
    <row r="75" spans="1:14" x14ac:dyDescent="0.25">
      <c r="A75" s="9" t="s">
        <v>447</v>
      </c>
      <c r="B75" s="9" t="s">
        <v>105</v>
      </c>
      <c r="C75" s="9" t="s">
        <v>106</v>
      </c>
      <c r="D75" s="9" t="s">
        <v>448</v>
      </c>
      <c r="E75" s="9" t="s">
        <v>449</v>
      </c>
      <c r="F75" s="9" t="s">
        <v>450</v>
      </c>
      <c r="G75" s="9" t="s">
        <v>451</v>
      </c>
      <c r="H75" s="9" t="s">
        <v>452</v>
      </c>
      <c r="I75" s="9" t="s">
        <v>73</v>
      </c>
      <c r="J75" s="9" t="s">
        <v>39</v>
      </c>
      <c r="K75" s="9" t="s">
        <v>19</v>
      </c>
      <c r="L75" s="9" t="s">
        <v>20</v>
      </c>
      <c r="M75" s="9" t="s">
        <v>71</v>
      </c>
      <c r="N75" s="9" t="s">
        <v>112</v>
      </c>
    </row>
    <row r="76" spans="1:14" x14ac:dyDescent="0.25">
      <c r="A76" s="9" t="s">
        <v>453</v>
      </c>
      <c r="B76" s="9" t="s">
        <v>256</v>
      </c>
      <c r="C76" s="9" t="s">
        <v>257</v>
      </c>
      <c r="D76" s="9" t="s">
        <v>454</v>
      </c>
      <c r="E76" s="9" t="s">
        <v>455</v>
      </c>
      <c r="F76" s="9" t="s">
        <v>456</v>
      </c>
      <c r="G76" s="9" t="s">
        <v>71</v>
      </c>
      <c r="H76" s="9" t="s">
        <v>457</v>
      </c>
      <c r="I76" s="9" t="s">
        <v>73</v>
      </c>
      <c r="J76" s="9" t="s">
        <v>40</v>
      </c>
      <c r="K76" s="9" t="s">
        <v>19</v>
      </c>
      <c r="L76" s="9" t="s">
        <v>20</v>
      </c>
      <c r="M76" s="9" t="s">
        <v>71</v>
      </c>
      <c r="N76" s="9" t="s">
        <v>112</v>
      </c>
    </row>
    <row r="77" spans="1:14" x14ac:dyDescent="0.25">
      <c r="A77" s="9" t="s">
        <v>458</v>
      </c>
      <c r="B77" s="9" t="s">
        <v>273</v>
      </c>
      <c r="C77" s="9" t="s">
        <v>274</v>
      </c>
      <c r="D77" s="9" t="s">
        <v>459</v>
      </c>
      <c r="E77" s="9" t="s">
        <v>455</v>
      </c>
      <c r="F77" s="9" t="s">
        <v>460</v>
      </c>
      <c r="G77" s="9" t="s">
        <v>71</v>
      </c>
      <c r="H77" s="9" t="s">
        <v>461</v>
      </c>
      <c r="I77" s="9" t="s">
        <v>73</v>
      </c>
      <c r="J77" s="9" t="s">
        <v>39</v>
      </c>
      <c r="K77" s="9" t="s">
        <v>44</v>
      </c>
      <c r="L77" s="9" t="s">
        <v>20</v>
      </c>
      <c r="M77" s="9" t="s">
        <v>71</v>
      </c>
      <c r="N77" s="9" t="s">
        <v>112</v>
      </c>
    </row>
    <row r="78" spans="1:14" x14ac:dyDescent="0.25">
      <c r="A78" s="9" t="s">
        <v>462</v>
      </c>
      <c r="B78" s="9" t="s">
        <v>273</v>
      </c>
      <c r="C78" s="9" t="s">
        <v>274</v>
      </c>
      <c r="D78" s="9" t="s">
        <v>463</v>
      </c>
      <c r="E78" s="9" t="s">
        <v>455</v>
      </c>
      <c r="F78" s="9" t="s">
        <v>464</v>
      </c>
      <c r="G78" s="9" t="s">
        <v>465</v>
      </c>
      <c r="H78" s="9" t="s">
        <v>466</v>
      </c>
      <c r="I78" s="9" t="s">
        <v>73</v>
      </c>
      <c r="J78" s="9" t="s">
        <v>40</v>
      </c>
      <c r="K78" s="9" t="s">
        <v>19</v>
      </c>
      <c r="L78" s="9" t="s">
        <v>20</v>
      </c>
      <c r="M78" s="9" t="s">
        <v>71</v>
      </c>
      <c r="N78" s="9" t="s">
        <v>112</v>
      </c>
    </row>
    <row r="79" spans="1:14" x14ac:dyDescent="0.25">
      <c r="A79" s="9" t="s">
        <v>467</v>
      </c>
      <c r="B79" s="9" t="s">
        <v>273</v>
      </c>
      <c r="C79" s="9" t="s">
        <v>274</v>
      </c>
      <c r="D79" s="9" t="s">
        <v>468</v>
      </c>
      <c r="E79" s="9" t="s">
        <v>455</v>
      </c>
      <c r="F79" s="9" t="s">
        <v>469</v>
      </c>
      <c r="G79" s="9" t="s">
        <v>470</v>
      </c>
      <c r="H79" s="9" t="s">
        <v>471</v>
      </c>
      <c r="I79" s="9" t="s">
        <v>73</v>
      </c>
      <c r="J79" s="9" t="s">
        <v>39</v>
      </c>
      <c r="K79" s="9" t="s">
        <v>19</v>
      </c>
      <c r="L79" s="9" t="s">
        <v>20</v>
      </c>
      <c r="M79" s="9" t="s">
        <v>71</v>
      </c>
      <c r="N79" s="9" t="s">
        <v>112</v>
      </c>
    </row>
  </sheetData>
  <autoFilter ref="A1:N1"/>
  <conditionalFormatting sqref="L2:L79">
    <cfRule type="containsText" dxfId="0" priority="1">
      <formula>NOT(ISERROR(SEARCH("Pass",L2)))</formula>
    </cfRule>
    <cfRule type="containsText" dxfId="1" priority="2">
      <formula>NOT(ISERROR(SEARCH("Fail",L2)))</formula>
    </cfRule>
    <cfRule type="containsText" dxfId="2" priority="3">
      <formula>NOT(ISERROR(SEARCH("Blocked",L2)))</formula>
    </cfRule>
  </conditionalFormatting>
  <dataValidations count="2">
    <dataValidation type="list" allowBlank="1" sqref="L10:L79">
      <formula1>"Not Started,Pass,Fail,Blocked,Not Applicable"</formula1>
    </dataValidation>
    <dataValidation type="list" allowBlank="1" sqref="L2:L79">
      <formula1>"Not Started,Pass,Fail,Blocked,Not Applicable"</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16" customWidth="1"/>
    <col min="3" max="3" width="60" customWidth="1"/>
    <col min="4" max="4" width="50" customWidth="1"/>
    <col min="5" max="5" width="12" customWidth="1"/>
    <col min="6" max="6" width="18" customWidth="1"/>
  </cols>
  <sheetData>
    <row r="1" ht="30" customHeight="1" spans="1:6" x14ac:dyDescent="0.25">
      <c r="A1" s="8" t="s">
        <v>472</v>
      </c>
      <c r="B1" s="8" t="s">
        <v>473</v>
      </c>
      <c r="C1" s="8" t="s">
        <v>474</v>
      </c>
      <c r="D1" s="8" t="s">
        <v>475</v>
      </c>
      <c r="E1" s="8" t="s">
        <v>476</v>
      </c>
      <c r="F1" s="8" t="s">
        <v>477</v>
      </c>
    </row>
    <row r="2" spans="1:6" x14ac:dyDescent="0.25">
      <c r="A2" s="9" t="s">
        <v>478</v>
      </c>
      <c r="B2" s="9" t="s">
        <v>479</v>
      </c>
      <c r="C2" s="9" t="s">
        <v>480</v>
      </c>
      <c r="D2" s="9" t="s">
        <v>481</v>
      </c>
      <c r="E2" s="9" t="s">
        <v>44</v>
      </c>
      <c r="F2" s="9" t="s">
        <v>83</v>
      </c>
    </row>
    <row r="3" spans="1:6" x14ac:dyDescent="0.25">
      <c r="A3" s="9" t="s">
        <v>482</v>
      </c>
      <c r="B3" s="9" t="s">
        <v>483</v>
      </c>
      <c r="C3" s="9" t="s">
        <v>484</v>
      </c>
      <c r="D3" s="9" t="s">
        <v>485</v>
      </c>
      <c r="E3" s="9" t="s">
        <v>44</v>
      </c>
      <c r="F3" s="9" t="s">
        <v>226</v>
      </c>
    </row>
    <row r="4" spans="1:6" x14ac:dyDescent="0.25">
      <c r="A4" s="9" t="s">
        <v>486</v>
      </c>
      <c r="B4" s="9" t="s">
        <v>487</v>
      </c>
      <c r="C4" s="9" t="s">
        <v>488</v>
      </c>
      <c r="D4" s="9" t="s">
        <v>489</v>
      </c>
      <c r="E4" s="9" t="s">
        <v>19</v>
      </c>
      <c r="F4" s="9" t="s">
        <v>255</v>
      </c>
    </row>
    <row r="5" spans="1:6" x14ac:dyDescent="0.25">
      <c r="A5" s="9" t="s">
        <v>490</v>
      </c>
      <c r="B5" s="9" t="s">
        <v>491</v>
      </c>
      <c r="C5" s="9" t="s">
        <v>492</v>
      </c>
      <c r="D5" s="9" t="s">
        <v>493</v>
      </c>
      <c r="E5" s="9" t="s">
        <v>45</v>
      </c>
      <c r="F5" s="9" t="s">
        <v>293</v>
      </c>
    </row>
    <row r="6" spans="1:6" x14ac:dyDescent="0.25">
      <c r="A6" s="9" t="s">
        <v>494</v>
      </c>
      <c r="B6" s="9" t="s">
        <v>495</v>
      </c>
      <c r="C6" s="9" t="s">
        <v>496</v>
      </c>
      <c r="D6" s="9" t="s">
        <v>497</v>
      </c>
      <c r="E6" s="9" t="s">
        <v>44</v>
      </c>
      <c r="F6" s="9" t="s">
        <v>384</v>
      </c>
    </row>
    <row r="7" spans="1:6" x14ac:dyDescent="0.25">
      <c r="A7" s="9" t="s">
        <v>498</v>
      </c>
      <c r="B7" s="9" t="s">
        <v>499</v>
      </c>
      <c r="C7" s="9" t="s">
        <v>500</v>
      </c>
      <c r="D7" s="9" t="s">
        <v>501</v>
      </c>
      <c r="E7" s="9" t="s">
        <v>502</v>
      </c>
      <c r="F7" s="9" t="s">
        <v>503</v>
      </c>
    </row>
    <row r="8" spans="1:6" x14ac:dyDescent="0.25">
      <c r="A8" s="9" t="s">
        <v>504</v>
      </c>
      <c r="B8" s="9" t="s">
        <v>505</v>
      </c>
      <c r="C8" s="9" t="s">
        <v>506</v>
      </c>
      <c r="D8" s="9" t="s">
        <v>507</v>
      </c>
      <c r="E8" s="9" t="s">
        <v>508</v>
      </c>
      <c r="F8" s="9" t="s">
        <v>509</v>
      </c>
    </row>
    <row r="9" spans="1:6" x14ac:dyDescent="0.25">
      <c r="A9" s="9" t="s">
        <v>510</v>
      </c>
      <c r="B9" s="9" t="s">
        <v>511</v>
      </c>
      <c r="C9" s="9" t="s">
        <v>512</v>
      </c>
      <c r="D9" s="9" t="s">
        <v>513</v>
      </c>
      <c r="E9" s="9" t="s">
        <v>508</v>
      </c>
      <c r="F9" s="9" t="s">
        <v>159</v>
      </c>
    </row>
    <row r="10" spans="1:6" x14ac:dyDescent="0.25">
      <c r="A10" s="9" t="s">
        <v>514</v>
      </c>
      <c r="B10" s="9" t="s">
        <v>515</v>
      </c>
      <c r="C10" s="9" t="s">
        <v>516</v>
      </c>
      <c r="D10" s="9" t="s">
        <v>517</v>
      </c>
      <c r="E10" s="9" t="s">
        <v>508</v>
      </c>
      <c r="F10" s="9" t="s">
        <v>518</v>
      </c>
    </row>
    <row r="11" spans="1:6" x14ac:dyDescent="0.25">
      <c r="A11" s="9" t="s">
        <v>519</v>
      </c>
      <c r="B11" s="9" t="s">
        <v>520</v>
      </c>
      <c r="C11" s="9" t="s">
        <v>521</v>
      </c>
      <c r="D11" s="9" t="s">
        <v>522</v>
      </c>
      <c r="E11" s="9" t="s">
        <v>45</v>
      </c>
      <c r="F11" s="9" t="s">
        <v>335</v>
      </c>
    </row>
  </sheetData>
  <autoFilter ref="A1:F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Test Cases</vt:lpstr>
      <vt:lpstr>Observations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QA automation</dc:creator>
  <dc:title/>
  <dc:subject/>
  <dc:description/>
  <cp:keywords/>
  <cp:category/>
  <cp:lastModifiedBy>Unknown</cp:lastModifiedBy>
  <dcterms:created xsi:type="dcterms:W3CDTF">2026-10-22T18:11:55Z</dcterms:created>
  <dcterms:modified xsi:type="dcterms:W3CDTF">2026-10-22T18:11:55Z</dcterms:modified>
</cp:coreProperties>
</file>