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Test Cases" state="visible" r:id="rId5"/>
    <sheet sheetId="3" name="Number Reconciliation" state="visible" r:id="rId6"/>
    <sheet sheetId="4" name="Dropdown Matrix" state="visible" r:id="rId7"/>
    <sheet sheetId="5" name="Observations" state="visible" r:id="rId8"/>
  </sheets>
  <calcPr calcId="171027" fullCalcOnLoad="1"/>
</workbook>
</file>

<file path=xl/sharedStrings.xml><?xml version="1.0" encoding="utf-8"?>
<sst xmlns="http://schemas.openxmlformats.org/spreadsheetml/2006/main" count="2141" uniqueCount="930">
  <si>
    <t>Sales Reports — Test Cases</t>
  </si>
  <si>
    <t>Page</t>
  </si>
  <si>
    <t>https://qa-crm.asquareab.com/reports/sales</t>
  </si>
  <si>
    <t>Build</t>
  </si>
  <si>
    <t>v1.0 1610-47</t>
  </si>
  <si>
    <t>Explored on</t>
  </si>
  <si>
    <t>16-Oct-2026 (CRM Administrator, QA data, screenshots)</t>
  </si>
  <si>
    <t>Scope</t>
  </si>
  <si>
    <t>Filter bar (period, custom dates, Project, Salesperson, Broker, Campaign, Reset), views, 8 KPI cards, Open Pipeline by Stage, Salesperson Pipeline, Open Opportunities, exports, number matching, data changes, cross-page and non-functional checks</t>
  </si>
  <si>
    <t>How to use</t>
  </si>
  <si>
    <t>Fill "Status" (Pass / Fail / Blocked / Not Applicable) and "Remarks" on the Test Cases sheet; counts below update automatically. Type the figures you see into the yellow cells of "Number Reconciliation" to check the numbers.</t>
  </si>
  <si>
    <t>Note</t>
  </si>
  <si>
    <t>"Observed" values were read from the 16-Oct-2026 screenshots (Last 12 months, all filters, view All); data changes over time, so re-read figures when executing. Automated page tests SAL-01…SAL-16 (tests/modules/sales-reports.spec.ts) already cover parts of this workbook.</t>
  </si>
  <si>
    <t>Last run</t>
  </si>
  <si>
    <t>16-Oct-2026 12:37, build v1.0 1610-47 — automated (tests/sales-reports): 101 passed, 19 failed, 12 blocked (skipped by design). Defect report: reports/CRM_Defect_Report_2026-10-16_1237.xlsx</t>
  </si>
  <si>
    <t>By area</t>
  </si>
  <si>
    <t>Test cases</t>
  </si>
  <si>
    <t>High</t>
  </si>
  <si>
    <t>Pass</t>
  </si>
  <si>
    <t>Fail</t>
  </si>
  <si>
    <t>General</t>
  </si>
  <si>
    <t>Views</t>
  </si>
  <si>
    <t>Period filter</t>
  </si>
  <si>
    <t>Dropdown filters</t>
  </si>
  <si>
    <t>Reset filters</t>
  </si>
  <si>
    <t>KPI cards</t>
  </si>
  <si>
    <t>Open Pipeline by Stage</t>
  </si>
  <si>
    <t>Salesperson Pipeline</t>
  </si>
  <si>
    <t>Open Opportunities</t>
  </si>
  <si>
    <t>Export</t>
  </si>
  <si>
    <t>Number matching</t>
  </si>
  <si>
    <t>Data changes</t>
  </si>
  <si>
    <t>Cross-page</t>
  </si>
  <si>
    <t>Non-functional</t>
  </si>
  <si>
    <t>Total</t>
  </si>
  <si>
    <t>By type</t>
  </si>
  <si>
    <t>Navigation</t>
  </si>
  <si>
    <t>UI</t>
  </si>
  <si>
    <t>Security</t>
  </si>
  <si>
    <t>Functional</t>
  </si>
  <si>
    <t>Dropdown</t>
  </si>
  <si>
    <t>Negative</t>
  </si>
  <si>
    <t>Accessibility</t>
  </si>
  <si>
    <t>Data</t>
  </si>
  <si>
    <t>By priority</t>
  </si>
  <si>
    <t>Medium</t>
  </si>
  <si>
    <t>Low</t>
  </si>
  <si>
    <t>Execution status</t>
  </si>
  <si>
    <t>Not Started</t>
  </si>
  <si>
    <t>Blocked</t>
  </si>
  <si>
    <t>Not Applicable</t>
  </si>
  <si>
    <t>Number reconciliation</t>
  </si>
  <si>
    <t>Count</t>
  </si>
  <si>
    <t>Checks</t>
  </si>
  <si>
    <t>Match</t>
  </si>
  <si>
    <t>Mismatch</t>
  </si>
  <si>
    <t>Not checked (enter inputs)</t>
  </si>
  <si>
    <t>Observations</t>
  </si>
  <si>
    <t>TC ID</t>
  </si>
  <si>
    <t>Area</t>
  </si>
  <si>
    <t>Component</t>
  </si>
  <si>
    <t>Test Case</t>
  </si>
  <si>
    <t>Preconditions</t>
  </si>
  <si>
    <t>Test Steps</t>
  </si>
  <si>
    <t>Test Data</t>
  </si>
  <si>
    <t>Expected Result</t>
  </si>
  <si>
    <t>Observed (16-Oct-2026 screenshots, build v1.0 1610-47)</t>
  </si>
  <si>
    <t>Type</t>
  </si>
  <si>
    <t>Priority</t>
  </si>
  <si>
    <t>Status</t>
  </si>
  <si>
    <t>Remarks</t>
  </si>
  <si>
    <t>SR-001</t>
  </si>
  <si>
    <t>Open Sales Reports from the Reports &amp; Analytics hub card</t>
  </si>
  <si>
    <t>Logged in as CRM Administrator</t>
  </si>
  <si>
    <t xml:space="preserve">1. Open /reports-analytics
2. Click the "Sales Reports" card (LIVE)</t>
  </si>
  <si>
    <t/>
  </si>
  <si>
    <t>URL is /reports/sales; breadcrumb "REPORTS &amp; ANALYTICS"; heading "Sales Reports"; Sales tab is active</t>
  </si>
  <si>
    <t>As expected</t>
  </si>
  <si>
    <t>[Run 16-Oct-2026 12:37, build v1.0 1610-47] Passed</t>
  </si>
  <si>
    <t>SR-002</t>
  </si>
  <si>
    <t>Open Sales Reports directly by URL</t>
  </si>
  <si>
    <t>1. Enter https://qa-crm.asquareab.com/reports/sales in the browser</t>
  </si>
  <si>
    <t>Page loads with the filter bar, 8 KPI cards and the 3 panels; no error message</t>
  </si>
  <si>
    <t>SR-003</t>
  </si>
  <si>
    <t>Breadcrumb</t>
  </si>
  <si>
    <t>"REPORTS &amp; ANALYTICS" breadcrumb returns to the hub</t>
  </si>
  <si>
    <t>Logged in as CRM Administrator; Sales Reports open (https://qa-crm.asquareab.com/reports/sales)</t>
  </si>
  <si>
    <t>1. Click "REPORTS &amp; ANALYTICS" above the heading</t>
  </si>
  <si>
    <t>Reports &amp; Analytics hub (/reports-analytics) opens</t>
  </si>
  <si>
    <t>To verify</t>
  </si>
  <si>
    <t>SR-004</t>
  </si>
  <si>
    <t>Module tab bar</t>
  </si>
  <si>
    <t>Module tab bar lists every report and highlights Sales</t>
  </si>
  <si>
    <t>1. Read the tab bar under the intro text</t>
  </si>
  <si>
    <t>Tabs in order: Sales, Inventory, Customers, Brokers, Marketing, Reservations, SPA, Collections, Exceptions, Leads; Sales is highlighted (dark)</t>
  </si>
  <si>
    <t>SR-005</t>
  </si>
  <si>
    <t>Switching module tabs opens the other report and back</t>
  </si>
  <si>
    <t xml:space="preserve">1. Click "Inventory"
2. Click "Sales"</t>
  </si>
  <si>
    <t>Step 1 opens /reports/inventory with Inventory highlighted; step 2 returns to /reports/sales with Sales highlighted and valid figures</t>
  </si>
  <si>
    <t>SR-006</t>
  </si>
  <si>
    <t>Layout</t>
  </si>
  <si>
    <t>Page layout shows every section in order</t>
  </si>
  <si>
    <t>1. Scroll the page from top to bottom</t>
  </si>
  <si>
    <t>Intro "Open pipeline by stage and salesperson, weighted forecast, win rate and opportunities past their close date. Values in base currency."; filter bar (Period (won / lost), Project, Salesperson, Broker, Campaign, Reset filters); 8 KPI cards; panels Open Pipeline by Stage, Salesperson Pipeline, Open Opportunities, each with an Export button</t>
  </si>
  <si>
    <t>SR-007</t>
  </si>
  <si>
    <t>KPI labels and captions</t>
  </si>
  <si>
    <t>1. Read every KPI card</t>
  </si>
  <si>
    <t>Open opportunities; Pipeline value "Budget of open opportunities"; Weighted pipeline "Value × probability"; Won in period "SPA signed in the period"; Won value; Win rate "Won ÷ (won + lost) in the period"; Average days to win; Past expected close</t>
  </si>
  <si>
    <t>SR-008</t>
  </si>
  <si>
    <t>Panels</t>
  </si>
  <si>
    <t>Panel captions explain which figures follow the period</t>
  </si>
  <si>
    <t>1. Read the caption under each panel heading</t>
  </si>
  <si>
    <t>Open Pipeline by Stage: "Open opportunities today. The period does not apply."; Salesperson Pipeline: "Open figures are as of today; won and lost are for the selected period."; Open Opportunities: "Sorted by expected close date."</t>
  </si>
  <si>
    <t>SR-009</t>
  </si>
  <si>
    <t>Loading</t>
  </si>
  <si>
    <t>KPIs never settle on a placeholder or broken value</t>
  </si>
  <si>
    <t xml:space="preserve">1. Open https://qa-crm.asquareab.com/reports/sales
2. Watch the KPI cards until loading finishes
3. Reload the page (F5) and watch again</t>
  </si>
  <si>
    <t>While loading, a placeholder ("—") may appear briefly; once loaded every KPI shows a real value; no NaN, undefined, blank or Infinity anywhere on the page</t>
  </si>
  <si>
    <t>SR-010</t>
  </si>
  <si>
    <t>Access</t>
  </si>
  <si>
    <t>Signed-out user cannot open the report</t>
  </si>
  <si>
    <t>Signed out (no session)</t>
  </si>
  <si>
    <t>1. Enter https://qa-crm.asquareab.com/reports/sales in a private window</t>
  </si>
  <si>
    <t>Login page is shown; after login the user lands on Sales Reports (or the dashboard); no report data is shown before login</t>
  </si>
  <si>
    <t>SR-011</t>
  </si>
  <si>
    <t>User without the Reports right cannot see the report</t>
  </si>
  <si>
    <t>A user without Reports &amp; Analytics permission</t>
  </si>
  <si>
    <t xml:space="preserve">1. Log in as that user
2. Enter https://qa-crm.asquareab.com/reports/sales</t>
  </si>
  <si>
    <t>Access denied / not-found page or redirect; Sales Reports card is not on the hub; no data is returned by the API</t>
  </si>
  <si>
    <t xml:space="preserve">[Run 16-Oct-2026 12:37, build v1.0 1610-47] Skipped: Needs a user without the Reports &amp; Analytics permission (set one up and run manually)
Needs a restricted account</t>
  </si>
  <si>
    <t>SR-012</t>
  </si>
  <si>
    <t>View buttons</t>
  </si>
  <si>
    <t>View buttons All / You and your team / Mine</t>
  </si>
  <si>
    <t>1. Read the buttons next to the heading</t>
  </si>
  <si>
    <t>Three buttons: All, You and your team, Mine; "All" is active for the CRM Administrator</t>
  </si>
  <si>
    <t>As expected (All active)</t>
  </si>
  <si>
    <t>SR-013</t>
  </si>
  <si>
    <t>"You and your team" narrows the report to the user's reporting line</t>
  </si>
  <si>
    <t>Logged in as CRM Administrator; Sales Reports open (https://qa-crm.asquareab.com/reports/sales); Period = Last 12 months; all filters on "All …"; view = All</t>
  </si>
  <si>
    <t xml:space="preserve">1. Note all KPIs
2. Click "You and your team"</t>
  </si>
  <si>
    <t>Button becomes active; KPIs and all three tables reload (API view=team); every count and amount ≤ the All value; Salesperson Pipeline lists only the user and their team</t>
  </si>
  <si>
    <t>SR-014</t>
  </si>
  <si>
    <t>"Mine" shows only the user's own opportunities</t>
  </si>
  <si>
    <t xml:space="preserve">1. Click "Mine"
2. Read the Salesperson Pipeline and Open Opportunities tables</t>
  </si>
  <si>
    <t>KPIs ≤ "You and your team"; Salesperson Pipeline has only the logged-in user; every Open Opportunities row has Salesperson = logged-in user</t>
  </si>
  <si>
    <t>SR-015</t>
  </si>
  <si>
    <t>"All" restores every salesperson</t>
  </si>
  <si>
    <t xml:space="preserve">1. Click "Mine"
2. Click "All"</t>
  </si>
  <si>
    <t>Figures return exactly to the original All values</t>
  </si>
  <si>
    <t>SR-016</t>
  </si>
  <si>
    <t>Roles</t>
  </si>
  <si>
    <t>Default view and allowed views depend on the role</t>
  </si>
  <si>
    <t>Needs a Sales Manager and a Salesperson account</t>
  </si>
  <si>
    <t xml:space="preserve">1. Log in as Sales Manager and open Sales Reports
2. Log in as Salesperson and open Sales Reports</t>
  </si>
  <si>
    <t>Manager opens on "You and your team"; Salesperson opens on "Mine" and cannot see other salespeople's opportunities (All not available or returns own data only, also via the API)</t>
  </si>
  <si>
    <t>Needs accounts</t>
  </si>
  <si>
    <t xml:space="preserve">[Run 16-Oct-2026 12:37, build v1.0 1610-47] Skipped: Needs Sales Manager and Salesperson accounts (log in as each and run manually)
Needs a Sales Manager and a Salesperson account</t>
  </si>
  <si>
    <t>SR-017</t>
  </si>
  <si>
    <t>Period dropdown</t>
  </si>
  <si>
    <t>Period dropdown label and options</t>
  </si>
  <si>
    <t xml:space="preserve">1. Click the "Period (won / lost)" dropdown
2. Read every option</t>
  </si>
  <si>
    <t>Label "Period (won / lost)"; options in this order: This month, Last month, This quarter, Last quarter, Year to date, Last 12 months, Custom dates; no duplicates or blanks</t>
  </si>
  <si>
    <t>Label as expected; options to verify</t>
  </si>
  <si>
    <t>SR-018</t>
  </si>
  <si>
    <t>Default period is "This month"</t>
  </si>
  <si>
    <t>1. Open https://qa-crm.asquareab.com/reports/sales</t>
  </si>
  <si>
    <t>"This month" is selected (same period as the hub and dashboard; workbook scenario RA-013)</t>
  </si>
  <si>
    <t>"Last 12 months" is selected (see OBS-01)</t>
  </si>
  <si>
    <t>[Run 16-Oct-2026 12:37, build v1.0 1610-47] Error: Default period expect(received).toBe(expected) // Object.is equality Expected: "this_month" Received: "last_12_months" (see OBS-01)</t>
  </si>
  <si>
    <t>SR-019</t>
  </si>
  <si>
    <t>Each period reloads the report with valid values</t>
  </si>
  <si>
    <t xml:space="preserve">1. Select each period in turn except Custom dates
2. After each one, read all KPIs and tables</t>
  </si>
  <si>
    <t>This month … Last 12 months</t>
  </si>
  <si>
    <t>Selected option stays shown; report reloads (API ?period=&lt;value&gt;); every KPI and table shows valid values, no NaN/blank</t>
  </si>
  <si>
    <t>SR-020</t>
  </si>
  <si>
    <t>Period scope</t>
  </si>
  <si>
    <t>The period changes only won / lost figures</t>
  </si>
  <si>
    <t xml:space="preserve">1. Note every KPI and all three tables
2. Select "This month"
3. Compare</t>
  </si>
  <si>
    <t>Last 12 months → This month</t>
  </si>
  <si>
    <t>CHANGE: Won in period, Won value, Win rate, Average days to win, and Salesperson Pipeline Won / Won Value / Lost / Win %. UNCHANGED: Open opportunities, Pipeline value, Weighted pipeline, Past expected close, the whole Open Pipeline by Stage table, Salesperson Open / Pipeline / Weighted, the Open Opportunities list</t>
  </si>
  <si>
    <t>SR-021</t>
  </si>
  <si>
    <t>Custom dates</t>
  </si>
  <si>
    <t>Custom dates shows From and To fields</t>
  </si>
  <si>
    <t xml:space="preserve">1. Select "Custom dates"
2. Select "Last month"</t>
  </si>
  <si>
    <t>Step 1: From and To date fields appear; step 2: the fields disappear and Last month figures load</t>
  </si>
  <si>
    <t>SR-022</t>
  </si>
  <si>
    <t>A valid custom range reloads the report</t>
  </si>
  <si>
    <t xml:space="preserve">1. Select "Custom dates"
2. From = 01-Sep-2026, To = 30-Sep-2026</t>
  </si>
  <si>
    <t>01-Sep-2026 → 30-Sep-2026</t>
  </si>
  <si>
    <t>Report reloads (API period=custom&amp;from=2026-09-01&amp;to=2026-09-30); won/lost figures are for September only</t>
  </si>
  <si>
    <t>SR-023</t>
  </si>
  <si>
    <t>From later than To is rejected with a message</t>
  </si>
  <si>
    <t xml:space="preserve">1. Select "Custom dates"
2. From = 30-Sep-2026, To = 01-Sep-2026</t>
  </si>
  <si>
    <t>30-Sep-2026 → 01-Sep-2026</t>
  </si>
  <si>
    <t>A validation message is shown; the report is not reloaded with an invalid range</t>
  </si>
  <si>
    <t xml:space="preserve">[Run 16-Oct-2026 12:37, build v1.0 1610-47] Error: Validation message expect(locator).toBeVisible() failed Locator: locator('//main//section[contains(@class,\'crm-panel\')][.//select]').first().getByText(/before|after|invalid|must be|cannot be|earlier|later/i).first() Expected: visible (see OBS-17)
Lead Reports shows no message here (Lead OBS-02)</t>
  </si>
  <si>
    <t>SR-024</t>
  </si>
  <si>
    <t>Only one date entered does not reload the report</t>
  </si>
  <si>
    <t xml:space="preserve">1. Select "Custom dates"
2. Enter only From = 01-Sep-2026</t>
  </si>
  <si>
    <t>No request with an incomplete range; figures stay unchanged until both dates are valid (or a hint asks for To)</t>
  </si>
  <si>
    <t>SR-025</t>
  </si>
  <si>
    <t>Future range shows zero won / lost, open figures unchanged</t>
  </si>
  <si>
    <t xml:space="preserve">1. Select "Custom dates"
2. From = 01-Jan-2027, To = 31-Jan-2027</t>
  </si>
  <si>
    <t>01-Jan-2027 → 31-Jan-2027</t>
  </si>
  <si>
    <t>Won in period 0; Won value 0 USD; Win rate "—"; Average days to win "—"; Salesperson Won/Lost 0, Win % "—"; Open opportunities, Pipeline, Weighted, Past expected close and the stage table unchanged</t>
  </si>
  <si>
    <t>SR-026</t>
  </si>
  <si>
    <t>Range with no data shows zeros, not NaN</t>
  </si>
  <si>
    <t xml:space="preserve">1. Select "Custom dates"
2. From = 01-Jan-2000, To = 31-Jan-2000</t>
  </si>
  <si>
    <t>01-Jan-2000 → 31-Jan-2000</t>
  </si>
  <si>
    <t>Same as a future range: zeros and "—"; no NaN, undefined or blank values; no error</t>
  </si>
  <si>
    <t>SR-027</t>
  </si>
  <si>
    <t>Range boundaries are inclusive</t>
  </si>
  <si>
    <t>An opportunity won (SPA signed) on a known date D</t>
  </si>
  <si>
    <t xml:space="preserve">1. Select "Custom dates"
2. From = D, To = D</t>
  </si>
  <si>
    <t>From = To = D</t>
  </si>
  <si>
    <t>Won in period ≥ 1 and includes the SPA signed on D; Won value includes its value</t>
  </si>
  <si>
    <t>SR-028</t>
  </si>
  <si>
    <t>Period dropdown works from the keyboard</t>
  </si>
  <si>
    <t xml:space="preserve">1. Tab to the Period dropdown
2. Use arrow keys to choose "Last month"
3. Press Enter / Tab away</t>
  </si>
  <si>
    <t>Focus is visible; the selection changes and the report reloads for Last month</t>
  </si>
  <si>
    <t>SR-029</t>
  </si>
  <si>
    <t>Project dropdown</t>
  </si>
  <si>
    <t>"Project" dropdown label and default</t>
  </si>
  <si>
    <t>1. Read the "Project" dropdown</t>
  </si>
  <si>
    <t>Label "Project"; "All projects" is the first option and is selected by default</t>
  </si>
  <si>
    <t>SR-030</t>
  </si>
  <si>
    <t>"Project" options match the master data</t>
  </si>
  <si>
    <t xml:space="preserve">1. Open the "Project" dropdown
2. Compare the options with the source list</t>
  </si>
  <si>
    <t>Source: the project master (Projects / Inventory Reports › Inventory by Project)</t>
  </si>
  <si>
    <t>Every project from the source appears exactly once; no blank, duplicate, "undefined" or deleted / inactive entries; options sorted A→Z after "All projects"</t>
  </si>
  <si>
    <t>SR-031</t>
  </si>
  <si>
    <t>"Project" filter narrows the report</t>
  </si>
  <si>
    <t xml:space="preserve">1. Note all KPIs
2. Select a project from the dropdown
3. Read KPIs and tables
4. Open 2–3 rows of Open Opportunities and check the record</t>
  </si>
  <si>
    <t>Report reloads for that project only; every count and amount ≤ unfiltered; every Open Opportunities row belongs to that project</t>
  </si>
  <si>
    <t>SR-032</t>
  </si>
  <si>
    <t>Salesperson dropdown</t>
  </si>
  <si>
    <t>"Salesperson" dropdown label and default</t>
  </si>
  <si>
    <t>1. Read the "Salesperson" dropdown</t>
  </si>
  <si>
    <t>Label "Salesperson"; "All salespeople" is the first option and is selected by default</t>
  </si>
  <si>
    <t>SR-033</t>
  </si>
  <si>
    <t>"Salesperson" options match the master data</t>
  </si>
  <si>
    <t xml:space="preserve">1. Open the "Salesperson" dropdown
2. Compare the options with the source list</t>
  </si>
  <si>
    <t>Source: active sales users; must include every name in Salesperson Pipeline (CRM Administrator, QA Lead Reviewer, QA Sales Manager, Mahalakshmi)</t>
  </si>
  <si>
    <t>Every salesperson from the source appears exactly once; no blank, duplicate, "undefined" or deleted / inactive entries; options sorted A→Z after "All salespeople"</t>
  </si>
  <si>
    <t>SR-034</t>
  </si>
  <si>
    <t>"Salesperson" filter narrows the report</t>
  </si>
  <si>
    <t xml:space="preserve">1. Note all KPIs
2. Select a salesperson from the dropdown
3. Read KPIs and tables
4. Open 2–3 rows of Open Opportunities and check the record</t>
  </si>
  <si>
    <t>Report reloads for that salesperson only; every count and amount ≤ unfiltered; every Open Opportunities row belongs to that salesperson</t>
  </si>
  <si>
    <t>SR-035</t>
  </si>
  <si>
    <t>Broker dropdown</t>
  </si>
  <si>
    <t>"Broker" dropdown label and default</t>
  </si>
  <si>
    <t>1. Read the "Broker" dropdown</t>
  </si>
  <si>
    <t>Label "Broker"; "All brokers" is the first option and is selected by default</t>
  </si>
  <si>
    <t>SR-036</t>
  </si>
  <si>
    <t>"Broker" options match the master data</t>
  </si>
  <si>
    <t xml:space="preserve">1. Open the "Broker" dropdown
2. Compare the options with the source list</t>
  </si>
  <si>
    <t>Source: active brokers (Broker Reports › Broker Performance)</t>
  </si>
  <si>
    <t>Every broker from the source appears exactly once; no blank, duplicate, "undefined" or deleted / inactive entries; options sorted A→Z after "All brokers"</t>
  </si>
  <si>
    <t>[Run 16-Oct-2026 12:37, build v1.0 1610-47] Error: Every source entry is offered expect(received).toEqual(expected) // deep equality - Expected  - 1 + Received  + 4 (see OBS-16)</t>
  </si>
  <si>
    <t>SR-037</t>
  </si>
  <si>
    <t>"Broker" filter narrows the report</t>
  </si>
  <si>
    <t xml:space="preserve">1. Note all KPIs
2. Select a broker from the dropdown
3. Read KPIs and tables
4. Open 2–3 rows of Open Opportunities and check the record</t>
  </si>
  <si>
    <t>Report reloads for that broker only; every count and amount ≤ unfiltered; every Open Opportunities row belongs to that broker</t>
  </si>
  <si>
    <t>SR-038</t>
  </si>
  <si>
    <t>Campaign dropdown</t>
  </si>
  <si>
    <t>"Campaign" dropdown label and default</t>
  </si>
  <si>
    <t>1. Read the "Campaign" dropdown</t>
  </si>
  <si>
    <t>Label "Campaign"; "All campaigns" is the first option and is selected by default</t>
  </si>
  <si>
    <t>SR-039</t>
  </si>
  <si>
    <t>"Campaign" options match the master data</t>
  </si>
  <si>
    <t xml:space="preserve">1. Open the "Campaign" dropdown
2. Compare the options with the source list</t>
  </si>
  <si>
    <t>Source: campaigns (Marketing Reports › Campaign Performance)</t>
  </si>
  <si>
    <t>Every campaign from the source appears exactly once; no blank, duplicate, "undefined" or deleted / inactive entries; options sorted A→Z after "All campaigns"</t>
  </si>
  <si>
    <t>SR-040</t>
  </si>
  <si>
    <t>"Campaign" filter narrows the report</t>
  </si>
  <si>
    <t xml:space="preserve">1. Note all KPIs
2. Select a campaign from the dropdown
3. Read KPIs and tables
4. Open 2–3 rows of Open Opportunities and check the record</t>
  </si>
  <si>
    <t>Report reloads for that campaign only; every count and amount ≤ unfiltered; every Open Opportunities row belongs to that campaign</t>
  </si>
  <si>
    <t>SR-041</t>
  </si>
  <si>
    <t>Salespeople with the same name can be told apart</t>
  </si>
  <si>
    <t xml:space="preserve">1. Open the "Salesperson" dropdown
2. Look for repeated names
3. Select each one</t>
  </si>
  <si>
    <t>Same-name users are distinguishable (e.g. email or code shown); each option filters to that user only</t>
  </si>
  <si>
    <t xml:space="preserve">[Run 16-Oct-2026 12:37, build v1.0 1610-47] Error: Salesperson options that look the same expect(received).toEqual(expected) // deep equality - Expected  - 1 + Received  + 3 (see OBS-15)
Lead Reports lists "Mahalakshmi" twice (Lead OBS-06)</t>
  </si>
  <si>
    <t>SR-042</t>
  </si>
  <si>
    <t>Salesperson with only a won deal (no open opportunities)</t>
  </si>
  <si>
    <t>1. Select Salesperson = Mahalakshmi</t>
  </si>
  <si>
    <t>Mahalakshmi</t>
  </si>
  <si>
    <t>Open opportunities 0; Pipeline 0 USD; Weighted 0 USD; Past expected close 0; stage table and Open Opportunities show the empty-state message; Won in period, Won value and Win rate equal Mahalakshmi's row in the unfiltered Salesperson Pipeline (1, 1.33M USD, 100%)</t>
  </si>
  <si>
    <t>SR-043</t>
  </si>
  <si>
    <t>Project with no opportunities shows zeros and empty tables</t>
  </si>
  <si>
    <t>1. Select a project that has no opportunities</t>
  </si>
  <si>
    <t>All counts 0, amounts 0 USD, Win rate and Average days to win "—"; tables show an empty-state message (not a blank grid); no error</t>
  </si>
  <si>
    <t>SR-044</t>
  </si>
  <si>
    <t>Combination</t>
  </si>
  <si>
    <t>Two filters combine (AND)</t>
  </si>
  <si>
    <t xml:space="preserve">1. Select a Project; note Open opportunities
2. Reset; select a Salesperson; note it
3. Select both together</t>
  </si>
  <si>
    <t>Combined result ≤ each filter alone; every Open Opportunities row matches both the project and the salesperson</t>
  </si>
  <si>
    <t>SR-045</t>
  </si>
  <si>
    <t>Every filter, period and view together</t>
  </si>
  <si>
    <t>1. Choose Period = This quarter, a Project, a Salesperson, a Broker, a Campaign and view Mine</t>
  </si>
  <si>
    <t>Report reloads without errors; figures are valid (zeros allowed); Reset filters afterwards restores the defaults</t>
  </si>
  <si>
    <t>SR-046</t>
  </si>
  <si>
    <t>Behaviour</t>
  </si>
  <si>
    <t>Fast switching shows the figures of the last selection</t>
  </si>
  <si>
    <t>1. Quickly change Salesperson 4–5 times, ending on QA Lead Reviewer</t>
  </si>
  <si>
    <t>Final figures belong to QA Lead Reviewer (an earlier, slower response must not overwrite them)</t>
  </si>
  <si>
    <t>SR-047</t>
  </si>
  <si>
    <t>Filters after a page reload</t>
  </si>
  <si>
    <t xml:space="preserve">1. Choose a Project and Period = Last month
2. Reload the page (F5)</t>
  </si>
  <si>
    <t>Agreed behaviour (same as Lead Reports LR-033): filters reset to defaults and the figures match the defaults</t>
  </si>
  <si>
    <t>SR-048</t>
  </si>
  <si>
    <t>Filters after leaving and returning to Sales</t>
  </si>
  <si>
    <t xml:space="preserve">1. Choose a Salesperson
2. Click the Inventory tab
3. Click the Sales tab</t>
  </si>
  <si>
    <t>Sales opens with defaults (or keeps the selection — whichever is agreed); figures always match the filters shown</t>
  </si>
  <si>
    <t xml:space="preserve">[Run 16-Oct-2026 12:37, build v1.0 1610-47] Passed
Confirm expected behaviour with BA</t>
  </si>
  <si>
    <t>SR-049</t>
  </si>
  <si>
    <t>Long option names are readable</t>
  </si>
  <si>
    <t xml:space="preserve">1. Open each dropdown and look at the longest option
2. Select it</t>
  </si>
  <si>
    <t>Long names are not cut so that two options look the same; the selected value is readable in the closed dropdown (tooltip or ellipsis)</t>
  </si>
  <si>
    <t>[Run 16-Oct-2026 12:37, build v1.0 1610-47] Error: Longest options fit their dropdown (or have a tooltip) expect(received).toEqual(expected) // deep equality - Expected  - 1 + Received  + 3 (see OBS-18)</t>
  </si>
  <si>
    <t>SR-050</t>
  </si>
  <si>
    <t>Filter dropdowns are labelled and keyboard operable</t>
  </si>
  <si>
    <t xml:space="preserve">1. Tab through the filter bar
2. Inspect each dropdown with a screen reader / accessibility tree</t>
  </si>
  <si>
    <t>Each dropdown is announced with its label (Project, Salesperson, Broker, Campaign); arrow keys change the selection and reload the report</t>
  </si>
  <si>
    <t>SR-051</t>
  </si>
  <si>
    <t>Reset button</t>
  </si>
  <si>
    <t>Reset filters is disabled while nothing is changed</t>
  </si>
  <si>
    <t>1. Look at "Reset filters" right after opening the page</t>
  </si>
  <si>
    <t>Button is disabled (greyed, not clickable)</t>
  </si>
  <si>
    <t>SR-052</t>
  </si>
  <si>
    <t>Reset filters restores every default</t>
  </si>
  <si>
    <t xml:space="preserve">1. Note all KPIs
2. Set Period = Custom dates (any range), Project, Salesperson, Broker and Campaign
3. Click "Reset filters"</t>
  </si>
  <si>
    <t>Period back to the default; From/To hidden and cleared; all four dropdowns back to "All …"; every KPI and table back to the noted values; button disabled again</t>
  </si>
  <si>
    <t>SR-053</t>
  </si>
  <si>
    <t>Reset filters and the view buttons</t>
  </si>
  <si>
    <t xml:space="preserve">1. Click "Mine"
2. Choose a Project
3. Click "Reset filters"</t>
  </si>
  <si>
    <t>Project returns to "All projects"; the view stays on Mine (Reset covers the filter bar only) — or returns to the default view if that is the agreed rule</t>
  </si>
  <si>
    <t>SR-054</t>
  </si>
  <si>
    <t>All KPIs</t>
  </si>
  <si>
    <t>Every KPI shows a valid, non-negative value</t>
  </si>
  <si>
    <t>1. Read all 8 KPI cards</t>
  </si>
  <si>
    <t>No blank, NaN, undefined, negative or "Infinity" values</t>
  </si>
  <si>
    <t>Open 39 · Pipeline 2.17B USD · Weighted 1.65B USD · Won 78 · Won value 149.91M USD · Win rate 97.5% · Avg days 10 d · Past expected close 23</t>
  </si>
  <si>
    <t>SR-055</t>
  </si>
  <si>
    <t>Amounts</t>
  </si>
  <si>
    <t>Amounts are in the base currency with a scale suffix</t>
  </si>
  <si>
    <t xml:space="preserve">1. Read Pipeline value, Weighted pipeline and Won value
2. Read amounts in the tables</t>
  </si>
  <si>
    <t>Format "&lt;number&gt;&lt;K|M|B&gt; USD" with at most 2 decimals; zero shows "0 USD"; the same format in KPIs and tables</t>
  </si>
  <si>
    <t>As expected (2.17B USD, 149.91M USD, 0 USD)</t>
  </si>
  <si>
    <t>SR-056</t>
  </si>
  <si>
    <t>Win rate</t>
  </si>
  <si>
    <t>Win rate format and empty case</t>
  </si>
  <si>
    <t xml:space="preserve">1. Read Win rate for Last 12 months
2. Choose a custom range with no won or lost deals</t>
  </si>
  <si>
    <t>Percentage with at most 1 decimal (97.5%); "—" when there are no won and no lost deals (no "0%", "NaN%")</t>
  </si>
  <si>
    <t>97.5%; empty case to verify</t>
  </si>
  <si>
    <t>SR-057</t>
  </si>
  <si>
    <t>Average days to win</t>
  </si>
  <si>
    <t>Average days to win format and empty case</t>
  </si>
  <si>
    <t xml:space="preserve">1. Read Average days to win
2. Choose a custom range with no won deals</t>
  </si>
  <si>
    <t>Whole days with suffix "d" (10 d), ≥ 0; "—" when Won in period = 0</t>
  </si>
  <si>
    <t>10 d; empty case to verify</t>
  </si>
  <si>
    <t>SR-058</t>
  </si>
  <si>
    <t>Table</t>
  </si>
  <si>
    <t>Stage table columns</t>
  </si>
  <si>
    <t>1. Read the table header</t>
  </si>
  <si>
    <t>Columns: Stage, Opportunities, Value (USD), Weighted (USD), Share of Value %</t>
  </si>
  <si>
    <t>SR-059</t>
  </si>
  <si>
    <t>Only open stages are listed, each once</t>
  </si>
  <si>
    <t>1. Read the Stage column</t>
  </si>
  <si>
    <t>No Won, Lost or closed stage; each stage once; a stage with no open opportunities is not listed (or shows 0 — agreed rule)</t>
  </si>
  <si>
    <t>Site Visit, Negotiation, Proposal, Reservation Ready</t>
  </si>
  <si>
    <t>SR-060</t>
  </si>
  <si>
    <t>Stages are in pipeline order</t>
  </si>
  <si>
    <t>1. Read the order of the stages</t>
  </si>
  <si>
    <t>Stages follow the pipeline sequence used on the Opportunities page (e.g. Site Visit → Proposal → Negotiation → Reservation Ready)</t>
  </si>
  <si>
    <t>Negotiation is listed before Proposal (OBS-02)</t>
  </si>
  <si>
    <t>[Run 16-Oct-2026 12:37, build v1.0 1610-47] Error: Stages not in the opportunity workflow (order undefined) expect(received).toEqual(expected) // deep equality - Expected  - 1 + Received  + 3 (see OBS-02)</t>
  </si>
  <si>
    <t>SR-061</t>
  </si>
  <si>
    <t>Total row</t>
  </si>
  <si>
    <t>Total row is shown last and in bold</t>
  </si>
  <si>
    <t>1. Read the last row</t>
  </si>
  <si>
    <t>Bold "Total" row at the bottom with Opportunities, Value, Weighted and 100%</t>
  </si>
  <si>
    <t>Total 39 · 2.17B USD · 1.65B USD · 100%</t>
  </si>
  <si>
    <t>SR-062</t>
  </si>
  <si>
    <t>Share of Value %</t>
  </si>
  <si>
    <t>A small but non-zero share is not shown as 0%</t>
  </si>
  <si>
    <t>1. Read Share of Value % for the Proposal stage</t>
  </si>
  <si>
    <t>A stage with value &gt; 0 shows a share &gt; 0 (e.g. "&lt;0.1%" or "0.05%")</t>
  </si>
  <si>
    <t>Proposal 1M USD shows "0%" (OBS-03)</t>
  </si>
  <si>
    <t>[Run 16-Oct-2026 12:37, build v1.0 1610-47] Error: Stages with value shown as 0% expect(received).toEqual(expected) // deep equality - Expected  - 1 + Received  + 3 (see OBS-03)</t>
  </si>
  <si>
    <t>SR-063</t>
  </si>
  <si>
    <t>Salesperson table columns</t>
  </si>
  <si>
    <t>Columns: Salesperson, Open, Pipeline (USD), Weighted (USD), Won, Won Value (USD), Lost, Win %</t>
  </si>
  <si>
    <t>SR-064</t>
  </si>
  <si>
    <t>Salespeople with only won / lost deals are listed</t>
  </si>
  <si>
    <t>1. Find salespeople with Open = 0</t>
  </si>
  <si>
    <t>A salesperson with no open opportunity but a won or lost deal in the period is listed with Open 0, Pipeline 0 USD, Weighted 0 USD</t>
  </si>
  <si>
    <t>Mahalakshmi: 0 open, Won 1, 1.33M USD</t>
  </si>
  <si>
    <t>SR-065</t>
  </si>
  <si>
    <t>Win %</t>
  </si>
  <si>
    <t>Win % shows "—" when there is nothing won or lost</t>
  </si>
  <si>
    <t>1. Find a row with Won = 0 and Lost = 0</t>
  </si>
  <si>
    <t>Win % shows "—" (not 0% or NaN)</t>
  </si>
  <si>
    <t>QA Sales Manager: Won 0, Lost 0, Win % "—"</t>
  </si>
  <si>
    <t>SR-066</t>
  </si>
  <si>
    <t>Row order is consistent</t>
  </si>
  <si>
    <t xml:space="preserve">1. Read the order of the rows
2. Change the period and read it again</t>
  </si>
  <si>
    <t>Rows sorted by Pipeline (USD) descending (ties by name); the order rule stays the same for every period and filter</t>
  </si>
  <si>
    <t>CRM Administrator, QA Lead Reviewer, QA Sales Manager, Mahalakshmi (pipeline descending)</t>
  </si>
  <si>
    <t xml:space="preserve">[Run 16-Oct-2026 12:37, build v1.0 1610-47] Passed
Confirm sort rule with BA</t>
  </si>
  <si>
    <t>SR-067</t>
  </si>
  <si>
    <t>Salesperson table has a Total row like the stage table</t>
  </si>
  <si>
    <t>1. Read the bottom of the table</t>
  </si>
  <si>
    <t>A bold Total row with the column sums (Open = Open opportunities, etc.)</t>
  </si>
  <si>
    <t>No Total row (OBS-06)</t>
  </si>
  <si>
    <t>[Run 16-Oct-2026 12:37, build v1.0 1610-47] Error: Salesperson Pipeline has a Total row expect(received).not.toBeNull() Received: null (see OBS-06)</t>
  </si>
  <si>
    <t>SR-068</t>
  </si>
  <si>
    <t>Open Opportunities columns</t>
  </si>
  <si>
    <t>Columns: Opportunity, Customer, Stage, Salesperson, Value (USD), Probability %, Expected Close</t>
  </si>
  <si>
    <t>SR-069</t>
  </si>
  <si>
    <t>Sorting</t>
  </si>
  <si>
    <t>List is sorted by expected close date, oldest first</t>
  </si>
  <si>
    <t>1. Read Expected Close from top to bottom (including across a year change)</t>
  </si>
  <si>
    <t>Dates ascending (e.g. 30 Dec 2026 before 02 Jan 2027); rows with no date at the end</t>
  </si>
  <si>
    <t>First 16 rows ascending, 17 Jun 2026 → 29 Jul 2026</t>
  </si>
  <si>
    <t>SR-070</t>
  </si>
  <si>
    <t>Rows</t>
  </si>
  <si>
    <t>Every row has valid data</t>
  </si>
  <si>
    <t>1. Check each row (use Export for all rows)</t>
  </si>
  <si>
    <t>Reference starts with "OPP-" (e.g. OPP-2026-0063, OPP-20260927205631-7TNZ) and is unique; Customer not blank; Stage is one of the stage table's stages; Salesperson is in Salesperson Pipeline; Value &gt; 0; Probability 0–100%; date "DD Mon YYYY"</t>
  </si>
  <si>
    <t>SR-071</t>
  </si>
  <si>
    <t>Only open opportunities are listed</t>
  </si>
  <si>
    <t>1. Check the Stage column (use Export for all rows)</t>
  </si>
  <si>
    <t>No row with stage Won, Lost or any closed stage</t>
  </si>
  <si>
    <t>Visible rows: Reservation Ready only</t>
  </si>
  <si>
    <t>SR-072</t>
  </si>
  <si>
    <t>Link</t>
  </si>
  <si>
    <t>Opportunity reference opens the record with the same values</t>
  </si>
  <si>
    <t xml:space="preserve">1. Note the first row
2. Click its reference (e.g. OPP-2026-0063)</t>
  </si>
  <si>
    <t>OPP-2026-0063</t>
  </si>
  <si>
    <t>Opportunity detail opens; Customer, Stage, Owner, Value, Probability and Expected close date equal the row (Buyer63 Demo, Reservation Ready, CRM Administrator, 1.1M USD, 85%, 17 Jun 2026)</t>
  </si>
  <si>
    <t>[Run 16-Oct-2026 12:37, build v1.0 1610-47] Error: Expected close shown as a date, not a raw timestamp expect(received).not.toMatch(expected) Expected pattern: not /T\d{2}:\d{2}/ Received string:      "2026-06-17T00:00:00.000Z" (see OBS-09)</t>
  </si>
  <si>
    <t>SR-073</t>
  </si>
  <si>
    <t>Overdue rows</t>
  </si>
  <si>
    <t>Rows past their expected close are highlighted</t>
  </si>
  <si>
    <t>1. Look at rows whose Expected Close is before today</t>
  </si>
  <si>
    <t>Overdue rows are visibly flagged (colour / badge) so they match the Past expected close KPI</t>
  </si>
  <si>
    <t>Not flagged (OBS-05)</t>
  </si>
  <si>
    <t>[Run 16-Oct-2026 12:37, build v1.0 1610-47] Error: Overdue rows that look like on-time rows expect(received).toBe(expected) // Object.is equality Expected: 0 Received: 23 (see OBS-05)</t>
  </si>
  <si>
    <t>SR-074</t>
  </si>
  <si>
    <t>Volume</t>
  </si>
  <si>
    <t>Large lists: all rows or a clear cap</t>
  </si>
  <si>
    <t xml:space="preserve">1. Count the rows
2. If the list stops at a fixed number, look for a message / pager</t>
  </si>
  <si>
    <t>Either every open opportunity is listed, or a message such as "showing the first N" is shown and Export contains all of them</t>
  </si>
  <si>
    <t>SR-075</t>
  </si>
  <si>
    <t>Empty state</t>
  </si>
  <si>
    <t>Empty list shows a message</t>
  </si>
  <si>
    <t>1. Filter to a project / salesperson with no open opportunities</t>
  </si>
  <si>
    <t>An empty-state message (e.g. "No open opportunities") instead of an empty grid; Export does not fail</t>
  </si>
  <si>
    <t>SR-076</t>
  </si>
  <si>
    <t>Open Pipeline by Stage Export downloads a matching file</t>
  </si>
  <si>
    <t xml:space="preserve">1. Click Export on "Open Pipeline by Stage"
2. Open the downloaded file</t>
  </si>
  <si>
    <t>An .xlsx file downloads; columns equal the table headers; rows equal the table rows; includes the Total row</t>
  </si>
  <si>
    <t>SR-077</t>
  </si>
  <si>
    <t>Salesperson Pipeline Export downloads a matching file</t>
  </si>
  <si>
    <t xml:space="preserve">1. Click Export on "Salesperson Pipeline"
2. Open the downloaded file</t>
  </si>
  <si>
    <t>An .xlsx file downloads; columns equal the table headers; rows equal the table rows; one row per salesperson</t>
  </si>
  <si>
    <t>SR-078</t>
  </si>
  <si>
    <t>Open Opportunities Export downloads a matching file</t>
  </si>
  <si>
    <t xml:space="preserve">1. Click Export on "Open Opportunities"
2. Open the downloaded file</t>
  </si>
  <si>
    <t>An .xlsx file downloads; columns equal the table headers; rows equal the table rows; all open opportunities (≥ rows on screen if the list is capped)</t>
  </si>
  <si>
    <t>SR-079</t>
  </si>
  <si>
    <t>All panels</t>
  </si>
  <si>
    <t>Export follows the filters, view and period</t>
  </si>
  <si>
    <t xml:space="preserve">1. Select Salesperson = QA Lead Reviewer
2. Export Open Opportunities and Salesperson Pipeline</t>
  </si>
  <si>
    <t>QA Lead Reviewer</t>
  </si>
  <si>
    <t>Open Opportunities file has only QA Lead Reviewer rows (4); Salesperson file has only that salesperson</t>
  </si>
  <si>
    <t>SR-080</t>
  </si>
  <si>
    <t>Export of an empty table</t>
  </si>
  <si>
    <t xml:space="preserve">1. Filter to a selection with no data
2. Click Export on each panel</t>
  </si>
  <si>
    <t>A file with headers only (or Export disabled with a hint); no error</t>
  </si>
  <si>
    <t>SR-081</t>
  </si>
  <si>
    <t>Exported file name identifies the report and date</t>
  </si>
  <si>
    <t xml:space="preserve">1. Export each panel
2. Read the file names</t>
  </si>
  <si>
    <t>File name contains the panel/report name and the export date; three panels give three different names</t>
  </si>
  <si>
    <t>SR-082</t>
  </si>
  <si>
    <t>Open opportunities</t>
  </si>
  <si>
    <t>Open opportunities = Stage table Total</t>
  </si>
  <si>
    <t xml:space="preserve">1. Read KPI "Open opportunities"
2. Read the stage table Total › Opportunities</t>
  </si>
  <si>
    <t>Equal (exact)</t>
  </si>
  <si>
    <t>39 = 39 ✔</t>
  </si>
  <si>
    <t>SR-083</t>
  </si>
  <si>
    <t>Open opportunities = sum of Salesperson "Open"</t>
  </si>
  <si>
    <t>1. Add up the Open column</t>
  </si>
  <si>
    <t>34 + 4 + 1 + 0 = 39 ✔</t>
  </si>
  <si>
    <t>SR-084</t>
  </si>
  <si>
    <t>Open opportunities = rows in Open Opportunities list</t>
  </si>
  <si>
    <t>1. Count the list rows (or the export rows)</t>
  </si>
  <si>
    <t>SR-085</t>
  </si>
  <si>
    <t>Stage "Opportunities" = list rows with that stage</t>
  </si>
  <si>
    <t xml:space="preserve">1. Export Open Opportunities
2. Count rows per Stage</t>
  </si>
  <si>
    <t>Each stage count equals its row in the stage table</t>
  </si>
  <si>
    <t>SR-086</t>
  </si>
  <si>
    <t>Salesperson "Open" = list rows for that salesperson</t>
  </si>
  <si>
    <t xml:space="preserve">1. Export Open Opportunities
2. Count rows per Salesperson</t>
  </si>
  <si>
    <t>Each count equals the Open column of that salesperson</t>
  </si>
  <si>
    <t>SR-087</t>
  </si>
  <si>
    <t>Pipeline value</t>
  </si>
  <si>
    <t>Pipeline value = Stage table Total Value = sum of stage values</t>
  </si>
  <si>
    <t xml:space="preserve">1. Read KPI
2. Add up Value (USD) of the stage rows
3. Read the Total row</t>
  </si>
  <si>
    <t>Equal within rounding (±0.5%)</t>
  </si>
  <si>
    <t>115.02M + 16.42M + 1M + 2.04B = 2.172B ≈ 2.17B ✔</t>
  </si>
  <si>
    <t>SR-088</t>
  </si>
  <si>
    <t>Pipeline value = sum of Salesperson Pipeline</t>
  </si>
  <si>
    <t>1. Add up Pipeline (USD)</t>
  </si>
  <si>
    <t>2.17B + 3.24M + 1.5M + 0 ≈ 2.17B ✔</t>
  </si>
  <si>
    <t>SR-089</t>
  </si>
  <si>
    <t>Pipeline value = sum of Value in Open Opportunities</t>
  </si>
  <si>
    <t xml:space="preserve">1. Export Open Opportunities
2. Sum the Value column</t>
  </si>
  <si>
    <t>Equal within rounding (±0.5%); per stage and per salesperson sums also match their table rows</t>
  </si>
  <si>
    <t>SR-090</t>
  </si>
  <si>
    <t>Weighted pipeline</t>
  </si>
  <si>
    <t>Weighted pipeline = Stage table Total Weighted = sum of stage weighted</t>
  </si>
  <si>
    <t>1. Add up Weighted (USD) of the stage rows</t>
  </si>
  <si>
    <t>103.51M + 9.85M + 0.85M + 1.53B = 1.644B ≈ 1.65B ✔ (rounding)</t>
  </si>
  <si>
    <t>SR-091</t>
  </si>
  <si>
    <t>Weighted pipeline = sum of Salesperson Weighted</t>
  </si>
  <si>
    <t>1. Add up Weighted (USD)</t>
  </si>
  <si>
    <t>1.65B + 2.1M + 0.9M + 0 ≈ 1.65B ✔</t>
  </si>
  <si>
    <t>SR-092</t>
  </si>
  <si>
    <t>Weighted pipeline = Σ (Value × Probability %) of the list</t>
  </si>
  <si>
    <t xml:space="preserve">1. Export Open Opportunities
2. Compute Value × Probability ÷ 100 per row and sum</t>
  </si>
  <si>
    <t>Equal within rounding (±0.5%) — overall, per stage and per salesperson</t>
  </si>
  <si>
    <t>SR-093</t>
  </si>
  <si>
    <t>Weighted ≤ Pipeline everywhere</t>
  </si>
  <si>
    <t>1. Compare Weighted with Value/Pipeline for the KPIs, every stage row and every salesperson row</t>
  </si>
  <si>
    <t>Weighted ≤ Pipeline in every place (probability ≤ 100%)</t>
  </si>
  <si>
    <t>KPI 1.65B ≤ 2.17B ✔; every row ✔</t>
  </si>
  <si>
    <t>SR-094</t>
  </si>
  <si>
    <t>Share of Value % = stage Value ÷ total Value × 100</t>
  </si>
  <si>
    <t xml:space="preserve">1. Compute each stage share
2. Add up the shares</t>
  </si>
  <si>
    <t>Each share equals the computed value (1 decimal); shares add up to 100% (±0.1)</t>
  </si>
  <si>
    <t>5.3 + 0.8 + 0 + 93.9 = 100% ✔</t>
  </si>
  <si>
    <t>SR-095</t>
  </si>
  <si>
    <t>Stage table Total row = column sums</t>
  </si>
  <si>
    <t>1. Add up each column of the stage rows</t>
  </si>
  <si>
    <t>Total Opportunities, Value and Weighted equal the column sums</t>
  </si>
  <si>
    <t>39 / 2.17B / 1.65B ✔</t>
  </si>
  <si>
    <t>SR-096</t>
  </si>
  <si>
    <t>Won in period</t>
  </si>
  <si>
    <t>Won in period = sum of Salesperson "Won"</t>
  </si>
  <si>
    <t>1. Add up the Won column</t>
  </si>
  <si>
    <t>76 + 1 + 0 + 1 = 78 ✔</t>
  </si>
  <si>
    <t>SR-097</t>
  </si>
  <si>
    <t>Won value</t>
  </si>
  <si>
    <t>Won value = sum of Salesperson "Won Value"</t>
  </si>
  <si>
    <t>1. Add up Won Value (USD)</t>
  </si>
  <si>
    <t>147.42M + 1.16M + 0 + 1.33M = 149.91M ✔</t>
  </si>
  <si>
    <t>SR-098</t>
  </si>
  <si>
    <t>Win rate = Won ÷ (Won + Lost) × 100</t>
  </si>
  <si>
    <t xml:space="preserve">1. Add up Won and Lost
2. Compute the rate</t>
  </si>
  <si>
    <t>Equal to 1 decimal</t>
  </si>
  <si>
    <t>78 ÷ (78 + 2) = 97.5% ✔</t>
  </si>
  <si>
    <t>SR-099</t>
  </si>
  <si>
    <t>Salesperson Win % = Won ÷ (Won + Lost) per row</t>
  </si>
  <si>
    <t>1. Compute Win % for each row</t>
  </si>
  <si>
    <t>Each row equal to 1 decimal; "—" when Won + Lost = 0</t>
  </si>
  <si>
    <t>CRM Administrator 76 ÷ 78 = 97.4% ✔; QA Lead Reviewer 100% ✔; Mahalakshmi 100% ✔; QA Sales Manager "—" ✔</t>
  </si>
  <si>
    <t>SR-100</t>
  </si>
  <si>
    <t>Past expected close</t>
  </si>
  <si>
    <t>Past expected close = list rows with Expected Close before today</t>
  </si>
  <si>
    <t xml:space="preserve">1. Export Open Opportunities
2. Count rows with Expected Close &lt; today</t>
  </si>
  <si>
    <t>Equal (exact); Past expected close ≤ Open opportunities</t>
  </si>
  <si>
    <t>KPI 23 (all 16 visible rows are past 16-Oct-2026); full count to verify</t>
  </si>
  <si>
    <t>SR-101</t>
  </si>
  <si>
    <t>Average days to win = average days from creation to SPA signed</t>
  </si>
  <si>
    <t xml:space="preserve">1. On Opportunities, list the deals won in the period with created and won dates
2. Average (won date − created date)</t>
  </si>
  <si>
    <t>Equal to the KPI (whole days)</t>
  </si>
  <si>
    <t xml:space="preserve">[Run 16-Oct-2026 12:37, build v1.0 1610-47] Skipped: Needs created and won dates of each won deal (Opportunities page or the database); not shown on Sales Reports
Needs created / won dates from the Opportunities page or the database</t>
  </si>
  <si>
    <t>SR-102</t>
  </si>
  <si>
    <t>Period</t>
  </si>
  <si>
    <t>Won figures grow with longer periods</t>
  </si>
  <si>
    <t>1. Read Won in period, Won value and Lost for every preset period</t>
  </si>
  <si>
    <t>This month ≤ This quarter ≤ Year to date ≤ Last 12 months; Last month ≤ Last quarter ≤ Year to date</t>
  </si>
  <si>
    <t>SR-103</t>
  </si>
  <si>
    <t>Custom range equals the matching preset</t>
  </si>
  <si>
    <t xml:space="preserve">1. Read This month, Last month and Last quarter
2. Enter the same ranges as Custom dates</t>
  </si>
  <si>
    <t>01-Oct-2026 → today = This month; 01-Sep-2026 → 30-Sep-2026 = Last month; 01-Jul-2026 → 30-Sep-2026 = Last quarter (Won, Won value, Win rate, Average days to win)</t>
  </si>
  <si>
    <t>SR-104</t>
  </si>
  <si>
    <t>Months add up to the quarter</t>
  </si>
  <si>
    <t xml:space="preserve">1. Read Won in period for custom ranges July, August and September 2026
2. Read Last quarter</t>
  </si>
  <si>
    <t>Won (Jul) + Won (Aug) + Won (Sep) = Won (Last quarter); same for Won value and Lost</t>
  </si>
  <si>
    <t>SR-105</t>
  </si>
  <si>
    <t>Filters</t>
  </si>
  <si>
    <t>Salesperson filter = that salesperson's row</t>
  </si>
  <si>
    <t xml:space="preserve">1. Note the QA Lead Reviewer row
2. Select Salesperson = QA Lead Reviewer</t>
  </si>
  <si>
    <t>KPIs equal the row: Open 4, Pipeline 3.24M USD, Weighted 2.1M USD, Won 1, Won value 1.16M USD, Win rate 100%; stage table Total = 4</t>
  </si>
  <si>
    <t>SR-106</t>
  </si>
  <si>
    <t>Projects add up to the total</t>
  </si>
  <si>
    <t xml:space="preserve">1. Select each project in turn and note Open opportunities, Pipeline value and Won in period
2. Add them up</t>
  </si>
  <si>
    <t>Sums equal the unfiltered values (every opportunity belongs to one project); any gap = opportunities without a project</t>
  </si>
  <si>
    <t>[Run 16-Oct-2026 12:37, build v1.0 1610-47] Error: Open opportunities: Σ projects = total (gap = 16 without a project) expect(received).toBe(expected) // Object.is equality Expected: 39 Received: 23 | Error: Won in period: Σ projects = total (gap = 16) expect(received).toBe(expected) // Object.is equality Expected: 78 Received: 62 | Error: Pipeline value: Σ projects = total: 2.17B USD vs 38860000 expect(received).toBeLessThanOrEqual(expected) Expected: &lt;= 10850000.000001 Received:    2131140000 (see OBS-14)</t>
  </si>
  <si>
    <t>SR-107</t>
  </si>
  <si>
    <t>Brokers and campaigns add up to at most the total</t>
  </si>
  <si>
    <t xml:space="preserve">1. Select each broker (then each campaign) and note Open opportunities
2. Add them up</t>
  </si>
  <si>
    <t>Sum ≤ unfiltered; the gap equals opportunities with no broker (no campaign)</t>
  </si>
  <si>
    <t>[Run 16-Oct-2026 12:37, build v1.0 1610-47] Error: Campaigns: Σ Open opportunities ≤ total expect(received).toBeLessThanOrEqual(expected) Expected: &lt;= 39 Received:    234 (see OBS-13)</t>
  </si>
  <si>
    <t>SR-108</t>
  </si>
  <si>
    <t>"Mine" equals the user's row in the All view</t>
  </si>
  <si>
    <t xml:space="preserve">1. Note the CRM Administrator row (view All)
2. Click "Mine"</t>
  </si>
  <si>
    <t>KPIs equal that row: Open 34, Pipeline 2.17B USD, Weighted 1.65B USD, Won 76, Won value 147.42M USD, Win rate 97.4%</t>
  </si>
  <si>
    <t>SR-109</t>
  </si>
  <si>
    <t>Exported numbers add up to the KPIs</t>
  </si>
  <si>
    <t xml:space="preserve">1. Export the three panels
2. Sum the number columns</t>
  </si>
  <si>
    <t>Exported values are plain numbers (not "2.17B" text); stage export Total row and column sums equal the KPIs; sums match within ±0.5%</t>
  </si>
  <si>
    <t>SR-110</t>
  </si>
  <si>
    <t>End-to-end</t>
  </si>
  <si>
    <t>New open opportunity is counted</t>
  </si>
  <si>
    <t>Logged in as CRM Administrator; Sales Reports open (https://qa-crm.asquareab.com/reports/sales); Period = Last 12 months; all filters on "All …"; view = All; a test opportunity that may be changed on QA; note the figures before each step</t>
  </si>
  <si>
    <t xml:space="preserve">1. Create an opportunity: stage Site Visit, value V, probability p, close date next month, owner = you
2. Reload Sales Reports</t>
  </si>
  <si>
    <t>Open opportunities +1; Pipeline +V; Weighted +V×p; Site Visit row +1 / +V; your Salesperson row Open +1; the opportunity appears in the list at its date position; Past expected close unchanged</t>
  </si>
  <si>
    <t>[Run 16-Oct-2026 12:37, build v1.0 1610-47] Skipped: Creates or edits opportunities on QA: run by hand with a disposable test opportunity (automating it needs the Opportunities form locators)</t>
  </si>
  <si>
    <t>SR-111</t>
  </si>
  <si>
    <t>Stage change moves the opportunity between stages</t>
  </si>
  <si>
    <t xml:space="preserve">1. Move the test opportunity to Negotiation
2. Reload</t>
  </si>
  <si>
    <t>Site Visit −1 / −V; Negotiation +1 / +V; KPI totals unchanged (Weighted changes only if the probability changes)</t>
  </si>
  <si>
    <t>SR-112</t>
  </si>
  <si>
    <t>Probability change updates only the weighted figures</t>
  </si>
  <si>
    <t xml:space="preserve">1. Change probability from p to q
2. Reload</t>
  </si>
  <si>
    <t>Weighted pipeline changes by V × (q − p); Pipeline value and counts unchanged</t>
  </si>
  <si>
    <t>SR-113</t>
  </si>
  <si>
    <t>Close date in the past counts as overdue</t>
  </si>
  <si>
    <t xml:space="preserve">1. Set the expected close date to yesterday
2. Reload</t>
  </si>
  <si>
    <t>Past expected close +1; the row moves to its date position in the list</t>
  </si>
  <si>
    <t>SR-114</t>
  </si>
  <si>
    <t>Won (SPA signed) moves the deal out of the pipeline</t>
  </si>
  <si>
    <t xml:space="preserve">1. Sign the SPA / mark the opportunity Won today
2. Reload; Period = This month</t>
  </si>
  <si>
    <t>Open −1; Pipeline −V; Weighted −V×p; Won in period +1; Won value + deal value; your row Won +1; Win rate and Average days to win recalculated; row leaves the list</t>
  </si>
  <si>
    <t>SR-115</t>
  </si>
  <si>
    <t>Lost deal lowers the win rate</t>
  </si>
  <si>
    <t xml:space="preserve">1. Mark another test opportunity Lost
2. Reload; Period = This month</t>
  </si>
  <si>
    <t>Open −1; Pipeline −V; your row Lost +1; Win rate = Won ÷ (Won + Lost) recalculated (decreases)</t>
  </si>
  <si>
    <t>SR-116</t>
  </si>
  <si>
    <t>Owner change moves the deal between salespeople</t>
  </si>
  <si>
    <t xml:space="preserve">1. Reassign an open test opportunity to another salesperson
2. Reload</t>
  </si>
  <si>
    <t>Old owner row Open −1 / Pipeline −V; new owner row +1 / +V; totals unchanged</t>
  </si>
  <si>
    <t>SR-117</t>
  </si>
  <si>
    <t>Non-USD opportunity is shown in base currency</t>
  </si>
  <si>
    <t xml:space="preserve">1. Create an opportunity in another currency (e.g. AED)
2. Reload</t>
  </si>
  <si>
    <t>Value is converted to USD at the configured rate in the KPIs, tables and export (intro: "Values in base currency")</t>
  </si>
  <si>
    <t>SR-118</t>
  </si>
  <si>
    <t>Consistency</t>
  </si>
  <si>
    <t>Open opportunities matches the hub and the Executive Dashboard</t>
  </si>
  <si>
    <t xml:space="preserve">1. Read "Open Opportunities" on /reports-analytics and on the dashboard (/)
2. Read "Open opportunities" on Sales Reports</t>
  </si>
  <si>
    <t>All three equal (open count does not depend on the period) — automated as X-02</t>
  </si>
  <si>
    <t>[Run 16-Oct-2026 12:37, build v1.0 1610-47] Error: Hub expect(received).toBe(expected) // Object.is equality Expected: 39 Received: 43 | Error: Executive Dashboard expect(received).toBe(expected) // Object.is equality Expected: 39 Received: 43 (see OBS-10)</t>
  </si>
  <si>
    <t>SR-119</t>
  </si>
  <si>
    <t>Pipeline value matches the hub</t>
  </si>
  <si>
    <t xml:space="preserve">1. Read hub "Pipeline Value"
2. Read Sales "Pipeline value"</t>
  </si>
  <si>
    <t>Equal within rounding — automated as X-03</t>
  </si>
  <si>
    <t>[Run 16-Oct-2026 12:37, build v1.0 1610-47] Error: Pipeline value = hub "Pipeline Value": 2.17B USD vs 178.94M USD expect(received).toBeLessThanOrEqual(expected) Expected: &lt;= 10850000.000001 Received:    1991060000 (see OBS-11)</t>
  </si>
  <si>
    <t>SR-120</t>
  </si>
  <si>
    <t>Weighted pipeline matches the hub</t>
  </si>
  <si>
    <t xml:space="preserve">1. Read hub "Weighted Pipeline"
2. Read Sales "Weighted pipeline"</t>
  </si>
  <si>
    <t>Equal within rounding — automated as X-04</t>
  </si>
  <si>
    <t>[Run 16-Oct-2026 12:37, build v1.0 1610-47] Error: Weighted pipeline = hub "Weighted Pipeline": 1.65B USD vs 153.45M USD expect(received).toBeLessThanOrEqual(expected) Expected: &lt;= 8250000.000001 Received:    1496550000</t>
  </si>
  <si>
    <t>SR-121</t>
  </si>
  <si>
    <t>Won in period matches the dashboard "Won Opportunities"</t>
  </si>
  <si>
    <t xml:space="preserve">1. Dashboard period = This month: read "Won Opportunities"
2. Sales Reports period = This month: read "Won in period"</t>
  </si>
  <si>
    <t>Equal — automated as X-10</t>
  </si>
  <si>
    <t>[Run 16-Oct-2026 12:37, build v1.0 1610-47] Error: expect(received).toBe(expected) // Object.is equality Expected: 64 Received: 3 (see OBS-12)</t>
  </si>
  <si>
    <t>SR-122</t>
  </si>
  <si>
    <t>Won value matches Lead Reports "Won Value"</t>
  </si>
  <si>
    <t xml:space="preserve">1. Same period on both pages
2. Compare</t>
  </si>
  <si>
    <t>Equal within rounding — automated as X-16</t>
  </si>
  <si>
    <t>SR-123</t>
  </si>
  <si>
    <t>Won in period matches SPA Reports "SPAs signed in period"</t>
  </si>
  <si>
    <t>Equal ("Won in period" = SPA signed in the period)</t>
  </si>
  <si>
    <t xml:space="preserve">[Run 16-Oct-2026 12:37, build v1.0 1610-47] Passed
Confirm rule with BA</t>
  </si>
  <si>
    <t>SR-124</t>
  </si>
  <si>
    <t>Past expected close matches Exception Reports</t>
  </si>
  <si>
    <t xml:space="preserve">1. Read Sales "Past expected close"
2. Count rows in Exception Reports › "Open opportunities past expected close date"</t>
  </si>
  <si>
    <t>Equal</t>
  </si>
  <si>
    <t>SR-125</t>
  </si>
  <si>
    <t>Open opportunities matches the Opportunities page</t>
  </si>
  <si>
    <t xml:space="preserve">1. On the Opportunities page, filter to open stages
2. Compare the count and total value</t>
  </si>
  <si>
    <t>Same count and same total value as the Sales KPIs</t>
  </si>
  <si>
    <t>[Run 16-Oct-2026 12:37, build v1.0 1610-47] Error: Open count expect(received).toBe(expected) // Object.is equality Expected: 39 Received: 43</t>
  </si>
  <si>
    <t>SR-126</t>
  </si>
  <si>
    <t>Performance</t>
  </si>
  <si>
    <t>Page and filter response time</t>
  </si>
  <si>
    <t xml:space="preserve">1. Open https://qa-crm.asquareab.com/reports/sales
2. Change the period and each filter</t>
  </si>
  <si>
    <t>Page fully loaded ≤ 3 s; each reload after a filter change ≤ 2 s</t>
  </si>
  <si>
    <t>[Run 16-Oct-2026 12:37, build v1.0 1610-47] Error: Page loaded ≤ 3000 ms expect(received).toBeLessThanOrEqual(expected) Expected: &lt;= 3000 Received:    3508 (see OBS-20)</t>
  </si>
  <si>
    <t>SR-127</t>
  </si>
  <si>
    <t>Errors</t>
  </si>
  <si>
    <t>No console errors or failed API calls</t>
  </si>
  <si>
    <t xml:space="preserve">1. Open DevTools
2. Load the page and use every filter, view and export</t>
  </si>
  <si>
    <t>No JavaScript errors; no 4xx/5xx responses</t>
  </si>
  <si>
    <t>SR-128</t>
  </si>
  <si>
    <t>Stability</t>
  </si>
  <si>
    <t>Same figures on repeated loads</t>
  </si>
  <si>
    <t xml:space="preserve">1. Load the page
2. Reload twice without changing data</t>
  </si>
  <si>
    <t>Every KPI and table value is identical across loads</t>
  </si>
  <si>
    <t>SR-129</t>
  </si>
  <si>
    <t>Session</t>
  </si>
  <si>
    <t>Report keeps working after the access token refresh</t>
  </si>
  <si>
    <t xml:space="preserve">1. Open the page
2. Stay idle for 16 minutes
3. Change a filter</t>
  </si>
  <si>
    <t>Report reloads with valid figures; the user is not logged out (token refreshed silently)</t>
  </si>
  <si>
    <t>[Run 16-Oct-2026 12:37, build v1.0 1610-47] Skipped: Waits 16 minutes for the access token to expire: set SALES_LONG=1 to run</t>
  </si>
  <si>
    <t>SR-130</t>
  </si>
  <si>
    <t>Browser</t>
  </si>
  <si>
    <t>Back and forward navigation</t>
  </si>
  <si>
    <t xml:space="preserve">1. Open Sales, then Inventory via the tab bar
2. Press Back, then Forward</t>
  </si>
  <si>
    <t>Back shows Sales with valid figures; Forward shows Inventory; no blank page</t>
  </si>
  <si>
    <t>SR-131</t>
  </si>
  <si>
    <t>Smaller screens</t>
  </si>
  <si>
    <t>1. Resize to 1366 px and 1024 px wide</t>
  </si>
  <si>
    <t>KPI cards wrap; tables scroll horizontally; no overlapping or cut-off text</t>
  </si>
  <si>
    <t>SR-132</t>
  </si>
  <si>
    <t>Tables and Export buttons are accessible</t>
  </si>
  <si>
    <t>1. Inspect with a screen reader / accessibility tree</t>
  </si>
  <si>
    <t>Tables use header cells; each Export button is identifiable by its panel; text contrast is sufficient</t>
  </si>
  <si>
    <t>[Run 16-Oct-2026 12:37, build v1.0 1610-47] Error: Each Export button can be told apart (aria-label / description names its panel) expect(received).toBe(expected) // Object.is equality Expected: 3 Received: 1 (see OBS-19)</t>
  </si>
  <si>
    <t>Sales Reports — Number Reconciliation</t>
  </si>
  <si>
    <t>Yellow cells are inputs: type the figures shown on screen (amounts in millions USD, e.g. 2.17B → 2170). Pre-filled with the 16-Oct-2026 screenshots (Last 12 months, all filters, view All). The Checks section recalculates. Amount tolerance 0.5% (display rounding), counts exact.</t>
  </si>
  <si>
    <t>Inputs — KPI cards</t>
  </si>
  <si>
    <t>KPI</t>
  </si>
  <si>
    <t>Value</t>
  </si>
  <si>
    <t>Unit</t>
  </si>
  <si>
    <t>count</t>
  </si>
  <si>
    <t>M USD</t>
  </si>
  <si>
    <t>%</t>
  </si>
  <si>
    <t>days</t>
  </si>
  <si>
    <t>Inputs — Open Pipeline by Stage</t>
  </si>
  <si>
    <t>Stage</t>
  </si>
  <si>
    <t>Opportunities</t>
  </si>
  <si>
    <t>Value (M USD)</t>
  </si>
  <si>
    <t>Weighted (M USD)</t>
  </si>
  <si>
    <t>Implied prob. %</t>
  </si>
  <si>
    <t>Computed share %</t>
  </si>
  <si>
    <t>Site Visit</t>
  </si>
  <si>
    <t>Negotiation</t>
  </si>
  <si>
    <t>Proposal</t>
  </si>
  <si>
    <t>Reservation Ready</t>
  </si>
  <si>
    <t>Total row (as shown)</t>
  </si>
  <si>
    <t>Inputs — Salesperson Pipeline</t>
  </si>
  <si>
    <t>Salesperson</t>
  </si>
  <si>
    <t>Open</t>
  </si>
  <si>
    <t>Pipeline (M USD)</t>
  </si>
  <si>
    <t>Won</t>
  </si>
  <si>
    <t>Won Value (M USD)</t>
  </si>
  <si>
    <t>Lost</t>
  </si>
  <si>
    <t>Win % (shown)</t>
  </si>
  <si>
    <t>CRM Administrator</t>
  </si>
  <si>
    <t>QA Sales Manager</t>
  </si>
  <si>
    <t>(add rows above if more salespeople)</t>
  </si>
  <si>
    <t>Inputs — Open Opportunities list (count from screen or the Export file)</t>
  </si>
  <si>
    <t>Figure</t>
  </si>
  <si>
    <t>Rows in the list</t>
  </si>
  <si>
    <t>Σ Value (M USD)</t>
  </si>
  <si>
    <t>Σ Value × Probability (M USD)</t>
  </si>
  <si>
    <t>Rows with Expected Close before today</t>
  </si>
  <si>
    <t>#</t>
  </si>
  <si>
    <t>Check</t>
  </si>
  <si>
    <t>Related TC</t>
  </si>
  <si>
    <t>Left</t>
  </si>
  <si>
    <t>Right</t>
  </si>
  <si>
    <t>Difference</t>
  </si>
  <si>
    <t>Tolerance</t>
  </si>
  <si>
    <t>Result</t>
  </si>
  <si>
    <t>Open opportunities = Stage Total</t>
  </si>
  <si>
    <t>Open opportunities = Σ stage Opportunities</t>
  </si>
  <si>
    <t>Open opportunities = Σ Salesperson Open</t>
  </si>
  <si>
    <t>Open opportunities = rows in list</t>
  </si>
  <si>
    <t>Pipeline value = Stage Total Value</t>
  </si>
  <si>
    <t>Pipeline value = Σ stage Value</t>
  </si>
  <si>
    <t>Pipeline value = Σ Salesperson Pipeline</t>
  </si>
  <si>
    <t>Pipeline value = Σ list Value</t>
  </si>
  <si>
    <t>Weighted pipeline = Stage Total Weighted</t>
  </si>
  <si>
    <t>Weighted pipeline = Σ stage Weighted</t>
  </si>
  <si>
    <t>Weighted pipeline = Σ Salesperson Weighted</t>
  </si>
  <si>
    <t>Weighted pipeline = Σ Value × Probability</t>
  </si>
  <si>
    <t>Σ Share of Value % = 100</t>
  </si>
  <si>
    <t>Share % Site Visit = Value ÷ Σ Value</t>
  </si>
  <si>
    <t>Share % Negotiation = Value ÷ Σ Value</t>
  </si>
  <si>
    <t>Share % Proposal = Value ÷ Σ Value</t>
  </si>
  <si>
    <t>Share % Reservation Ready = Value ÷ Σ Value</t>
  </si>
  <si>
    <t>Won in period = Σ Salesperson Won</t>
  </si>
  <si>
    <t>Won value = Σ Salesperson Won Value</t>
  </si>
  <si>
    <t>Win rate = ΣWon ÷ (ΣWon + ΣLost) × 100</t>
  </si>
  <si>
    <t>Win % CRM Administrator = Won ÷ (Won + Lost)</t>
  </si>
  <si>
    <t>Win % QA Lead Reviewer = Won ÷ (Won + Lost)</t>
  </si>
  <si>
    <t>Win % QA Sales Manager = Won ÷ (Won + Lost)</t>
  </si>
  <si>
    <t>Win % Mahalakshmi = Won ÷ (Won + Lost)</t>
  </si>
  <si>
    <t>Past expected close = list rows past close date</t>
  </si>
  <si>
    <t>Past expected close ≤ Open opportunities</t>
  </si>
  <si>
    <t>Left ≤ Right</t>
  </si>
  <si>
    <t>Weighted pipeline ≤ Pipeline value</t>
  </si>
  <si>
    <t>Weighted ≤ Value: Site Visit</t>
  </si>
  <si>
    <t>Weighted ≤ Value: Negotiation</t>
  </si>
  <si>
    <t>Weighted ≤ Value: Proposal</t>
  </si>
  <si>
    <t>Weighted ≤ Value: Reservation Ready</t>
  </si>
  <si>
    <t>Weighted ≤ Pipeline: CRM Administrator</t>
  </si>
  <si>
    <t>Weighted ≤ Pipeline: QA Lead Reviewer</t>
  </si>
  <si>
    <t>Weighted ≤ Pipeline: QA Sales Manager</t>
  </si>
  <si>
    <t>Weighted ≤ Pipeline: Mahalakshmi</t>
  </si>
  <si>
    <t>Label on screen</t>
  </si>
  <si>
    <t>Default / first option</t>
  </si>
  <si>
    <t>Options (expected)</t>
  </si>
  <si>
    <t>Source to compare with</t>
  </si>
  <si>
    <t>Changes</t>
  </si>
  <si>
    <t>Does NOT change</t>
  </si>
  <si>
    <t>Validation rules</t>
  </si>
  <si>
    <t>Related TCs</t>
  </si>
  <si>
    <t>Period (won / lost)</t>
  </si>
  <si>
    <t>This month (observed: Last 12 months)</t>
  </si>
  <si>
    <t>This month, Last month, This quarter, Last quarter, Year to date, Last 12 months, Custom dates</t>
  </si>
  <si>
    <t>Same list as every report module (Lead Reports LR-016)</t>
  </si>
  <si>
    <t>Won in period, Won value, Win rate, Average days to win; Salesperson Won / Won Value / Lost / Win %</t>
  </si>
  <si>
    <t>Open opportunities, Pipeline value, Weighted pipeline, Past expected close, Open Pipeline by Stage, Salesperson Open / Pipeline / Weighted, Open Opportunities list</t>
  </si>
  <si>
    <t>Custom dates shows From / To; From ≤ To; both dates needed; boundaries inclusive; empty range shows 0 and "—"</t>
  </si>
  <si>
    <t>SR-017 … SR-104 (15)</t>
  </si>
  <si>
    <t>Project</t>
  </si>
  <si>
    <t>All projects</t>
  </si>
  <si>
    <t>All projects + every project, A→Z, no duplicates / blanks</t>
  </si>
  <si>
    <t>Projects master; Inventory Reports › Inventory by Project</t>
  </si>
  <si>
    <t>Every KPI and all three tables</t>
  </si>
  <si>
    <t>—</t>
  </si>
  <si>
    <t>Rows belong to the project; projects add up to the total</t>
  </si>
  <si>
    <t>SR-029 … SR-043 (4)</t>
  </si>
  <si>
    <t>All salespeople</t>
  </si>
  <si>
    <t>All salespeople + every sales user, A→Z, same-name users distinguishable</t>
  </si>
  <si>
    <t>Users with a sales role; names in Salesperson Pipeline</t>
  </si>
  <si>
    <t>Filtered KPIs = that salesperson's row; rows have that salesperson</t>
  </si>
  <si>
    <t>SR-032 … SR-077 (6)</t>
  </si>
  <si>
    <t>Broker</t>
  </si>
  <si>
    <t>All brokers</t>
  </si>
  <si>
    <t>All brokers + every active broker, A→Z</t>
  </si>
  <si>
    <t>Broker Reports › Broker Performance</t>
  </si>
  <si>
    <t>Brokers add up to ≤ the total (gap = direct deals)</t>
  </si>
  <si>
    <t>SR-035 … SR-037 (3)</t>
  </si>
  <si>
    <t>Campaign</t>
  </si>
  <si>
    <t>All campaigns</t>
  </si>
  <si>
    <t>All campaigns + every campaign, A→Z</t>
  </si>
  <si>
    <t>Marketing Reports › Campaign Performance</t>
  </si>
  <si>
    <t>Campaigns add up to ≤ the total (gap = no campaign)</t>
  </si>
  <si>
    <t>SR-038 … SR-040 (3)</t>
  </si>
  <si>
    <t>View</t>
  </si>
  <si>
    <t>All / You and your team / Mine</t>
  </si>
  <si>
    <t>All (admin); team (manager); Mine (salesperson)</t>
  </si>
  <si>
    <t>All, You and your team, Mine</t>
  </si>
  <si>
    <t>User role and reporting line</t>
  </si>
  <si>
    <t>All ≥ team ≥ Mine; Mine = user's row in All</t>
  </si>
  <si>
    <t>SR-012 … SR-108 (6)</t>
  </si>
  <si>
    <t>Disabled</t>
  </si>
  <si>
    <t>Period and the four dropdowns back to defaults</t>
  </si>
  <si>
    <t>View buttons (confirm)</t>
  </si>
  <si>
    <t>Disabled until something changes</t>
  </si>
  <si>
    <t>SR-051 … SR-053 (3)</t>
  </si>
  <si>
    <t>Obs ID</t>
  </si>
  <si>
    <t>Observation</t>
  </si>
  <si>
    <t>Expected / Question</t>
  </si>
  <si>
    <t>Suggested severity</t>
  </si>
  <si>
    <t>OBS-01</t>
  </si>
  <si>
    <t>The page opens on "Last 12 months".</t>
  </si>
  <si>
    <t>Should open on "This month" like the hub and dashboard (workbook scenario RA-013; same as Lead OBS-01).</t>
  </si>
  <si>
    <t>OBS-02</t>
  </si>
  <si>
    <t>Stages are listed Site Visit, Negotiation, Proposal, Reservation Ready. The opportunity workflow has no Proposal step, and the Opportunities page lists the stages as Qualified, Site Visit, Negotiation, Reservation Ready, Proposal.</t>
  </si>
  <si>
    <t>Confirm where Proposal belongs and list stages in that pipeline order.</t>
  </si>
  <si>
    <t>OBS-03</t>
  </si>
  <si>
    <t>Proposal has 1M USD of value but Share of Value % shows "0%" (actual 0.05%).</t>
  </si>
  <si>
    <t>Show "&lt;0.1%" or two decimals so a non-zero stage never reads as 0%.</t>
  </si>
  <si>
    <t>OBS-04</t>
  </si>
  <si>
    <t>Weighted ÷ Value per stage: Site Visit 90%, Negotiation 60%, Proposal 85%, Reservation Ready 75%. The earliest stage carries the highest probability, and Reservation Ready averages 75% although its listed rows show 85%.</t>
  </si>
  <si>
    <t>Confirm the probability comes from each opportunity (not the stage) and that Site Visit deals at ~90% are correct data.</t>
  </si>
  <si>
    <t>OBS-05</t>
  </si>
  <si>
    <t>23 of 39 open opportunities are past their expected close (oldest 17 Jun 2026, 4 months overdue), but overdue rows look the same as the others.</t>
  </si>
  <si>
    <t>Highlight overdue rows; data owners to update close dates.</t>
  </si>
  <si>
    <t>OBS-06</t>
  </si>
  <si>
    <t>No Total row, while Open Pipeline by Stage has one.</t>
  </si>
  <si>
    <t>Add a Total row so the table can be matched against the KPIs at a glance.</t>
  </si>
  <si>
    <t>OBS-07</t>
  </si>
  <si>
    <t>Formatting</t>
  </si>
  <si>
    <t>Amounts drop trailing zeros inconsistently ("1.1M USD", "2.5M USD", "1M USD" next to "1.12M USD", "2.59M USD").</t>
  </si>
  <si>
    <t>Use a fixed number of decimals for amounts in one column.</t>
  </si>
  <si>
    <t>OBS-08</t>
  </si>
  <si>
    <t>Caption says "SPA signed in the period" — Won is defined by SPA signing.</t>
  </si>
  <si>
    <t>Confirm Won in period / Won value must equal SPA Reports "SPAs signed in period" / "Signed value" for the same period and filters.</t>
  </si>
  <si>
    <t>Question</t>
  </si>
  <si>
    <t>OBS-09</t>
  </si>
  <si>
    <t>Opportunity Detail</t>
  </si>
  <si>
    <t>Opening OPP-2026-0063 from the list shows EXPECTED CLOSE as "2026-06-17T00:00:00.000Z" (the list shows 17 Jun 2026).</t>
  </si>
  <si>
    <t>Show the date in the app format (DD Mon YYYY).</t>
  </si>
  <si>
    <t>OBS-10</t>
  </si>
  <si>
    <t>Sales Reports shows 39 open opportunities; the hub, the Executive Dashboard and the Opportunities page show 43 (the Opportunities page counts Qualified as open; the stage table has no Qualified row).</t>
  </si>
  <si>
    <t>One definition of "open" everywhere — confirm whether Qualified is part of the pipeline.</t>
  </si>
  <si>
    <t>OBS-11</t>
  </si>
  <si>
    <t>Hub shows Pipeline Value 178.94M USD and Weighted Pipeline 153.45M USD; Sales Reports shows 2.17B USD and 1.65B USD.</t>
  </si>
  <si>
    <t>Same open pipeline on both pages (the hub may be applying "This month" to an as-of-today figure).</t>
  </si>
  <si>
    <t>OBS-12</t>
  </si>
  <si>
    <t>This month: Executive Dashboard "Won Opportunities" = 64, Sales Reports "Won in period" = 3.</t>
  </si>
  <si>
    <t>Same count for the same period (the dashboard may be counting all-time won deals).</t>
  </si>
  <si>
    <t>OBS-13</t>
  </si>
  <si>
    <t>Campaign filter</t>
  </si>
  <si>
    <t>Every one of the 6 campaigns returns all 39 open opportunities (sum 234 of 39) — the Campaign filter does not narrow the open pipeline.</t>
  </si>
  <si>
    <t>Selecting a campaign shows only its opportunities.</t>
  </si>
  <si>
    <t>OBS-14</t>
  </si>
  <si>
    <t>Project filter</t>
  </si>
  <si>
    <t>Summed over both projects: Open 23 of 39, Won 62 of 78, Pipeline 38.86M of 2.17B USD — 16 open deals (2.13B USD) belong to no project option, although e.g. OPP-2026-0063 shows project PEX-WATAMU.</t>
  </si>
  <si>
    <t>Every opportunity is reachable through its project; confirm which project field the filter uses.</t>
  </si>
  <si>
    <t>OBS-15</t>
  </si>
  <si>
    <t>Salesperson filter</t>
  </si>
  <si>
    <t>The dropdown lists "Mahalakshmi" twice (two users, same name).</t>
  </si>
  <si>
    <t>Show something that tells them apart (email, code).</t>
  </si>
  <si>
    <t>OBS-16</t>
  </si>
  <si>
    <t>Broker filter</t>
  </si>
  <si>
    <t>4 brokers on Broker Reports › Broker Performance are not in the dropdown (e.g. QA Test Broker08, crmbroker).</t>
  </si>
  <si>
    <t>Offer every active broker, or confirm those are inactive.</t>
  </si>
  <si>
    <t>OBS-17</t>
  </si>
  <si>
    <t>From later than To: no message, no request, old figures stay.</t>
  </si>
  <si>
    <t>Show a validation message (same as Lead OBS-02).</t>
  </si>
  <si>
    <t>OBS-18</t>
  </si>
  <si>
    <t>"Palm Exotica Campaign 2026-01" does not fit the Campaign dropdown (171 px text, 164 px space) and has no tooltip.</t>
  </si>
  <si>
    <t>Widen the dropdown or add a title tooltip.</t>
  </si>
  <si>
    <t>OBS-19</t>
  </si>
  <si>
    <t>The three Export buttons are all named just "Export".</t>
  </si>
  <si>
    <t>Give each an aria-label naming its panel.</t>
  </si>
  <si>
    <t>OBS-20</t>
  </si>
  <si>
    <t>From the test machine: page ready in 4.0 s (target 3 s), Campaign filter reload 3.6 s (target 2 s).</t>
  </si>
  <si>
    <t>Confirm the targets; measure from the office network.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</si>
</sst>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6" x14ac:knownFonts="1">
    <font>
      <color theme="1"/>
      <family val="2"/>
      <scheme val="minor"/>
      <sz val="11"/>
      <name val="Calibri"/>
    </font>
    <font>
      <b/>
      <sz val="14"/>
      <name val="Arial"/>
    </font>
    <font>
      <b/>
      <sz val="10"/>
      <name val="Arial"/>
    </font>
    <font>
      <sz val="10"/>
      <name val="Arial"/>
    </font>
    <font>
      <b/>
      <color rgb="FFFFFFFF"/>
      <sz val="10"/>
      <name val="Arial"/>
    </font>
    <font>
      <i/>
      <sz val="10"/>
      <name val="Arial"/>
    </font>
  </fonts>
  <fills count="5">
    <fill>
      <patternFill patternType="none"/>
    </fill>
    <fill>
      <patternFill patternType="gray125"/>
    </fill>
    <fill>
      <patternFill patternType="solid">
        <fgColor rgb="FF12465B"/>
      </patternFill>
    </fill>
    <fill>
      <patternFill patternType="solid">
        <fgColor rgb="FFDCE6F1"/>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3" fillId="0" borderId="0" xfId="0" applyFont="1" applyAlignment="1">
      <alignment wrapText="1"/>
    </xf>
    <xf numFmtId="0" fontId="4" fillId="2" borderId="0" xfId="0" applyFont="1" applyFill="1"/>
    <xf numFmtId="0" fontId="3" fillId="0" borderId="0" xfId="0" applyFont="1"/>
    <xf numFmtId="0" fontId="4" fillId="2" borderId="1" xfId="0" applyFont="1" applyFill="1" applyBorder="1" applyAlignment="1">
      <alignment vertical="center" wrapText="1"/>
    </xf>
    <xf numFmtId="0" fontId="3" fillId="0" borderId="1" xfId="0" applyFont="1" applyBorder="1" applyAlignment="1">
      <alignment vertical="top" wrapText="1"/>
    </xf>
    <xf numFmtId="0" fontId="5" fillId="0" borderId="0" xfId="0" applyFont="1" applyAlignment="1">
      <alignment wrapText="1"/>
    </xf>
    <xf numFmtId="0" fontId="2" fillId="3" borderId="1" xfId="0" applyFont="1" applyFill="1" applyBorder="1" applyAlignment="1">
      <alignment vertical="top" wrapText="1"/>
    </xf>
    <xf numFmtId="164" fontId="3" fillId="4" borderId="1" xfId="0" applyNumberFormat="1" applyFont="1" applyFill="1" applyBorder="1" applyAlignment="1">
      <alignment vertical="top" wrapText="1"/>
    </xf>
    <xf numFmtId="4" fontId="3" fillId="4" borderId="1" xfId="0" applyNumberFormat="1" applyFont="1" applyFill="1" applyBorder="1" applyAlignment="1">
      <alignment vertical="top" wrapText="1"/>
    </xf>
    <xf numFmtId="0" fontId="3" fillId="4" borderId="1" xfId="0" applyFont="1" applyFill="1" applyBorder="1" applyAlignment="1">
      <alignment vertical="top" wrapText="1"/>
    </xf>
    <xf numFmtId="165" fontId="3" fillId="4" borderId="1" xfId="0" applyNumberFormat="1" applyFont="1" applyFill="1" applyBorder="1" applyAlignment="1">
      <alignment vertical="top" wrapText="1"/>
    </xf>
    <xf numFmtId="165" fontId="3" fillId="0" borderId="1" xfId="0" applyNumberFormat="1" applyFont="1" applyBorder="1" applyAlignment="1">
      <alignment vertical="top" wrapText="1"/>
    </xf>
    <xf numFmtId="2" fontId="3" fillId="0" borderId="1" xfId="0" applyNumberFormat="1" applyFont="1" applyBorder="1" applyAlignment="1">
      <alignment vertical="top" wrapText="1"/>
    </xf>
    <xf numFmtId="0" fontId="2" fillId="0" borderId="1" xfId="0" applyFont="1" applyBorder="1" applyAlignment="1">
      <alignment vertical="top" wrapText="1"/>
    </xf>
    <xf numFmtId="1" fontId="3" fillId="4" borderId="1" xfId="0" applyNumberFormat="1" applyFont="1" applyFill="1" applyBorder="1" applyAlignment="1">
      <alignment vertical="top" wrapText="1"/>
    </xf>
    <xf numFmtId="4" fontId="3" fillId="0" borderId="1" xfId="0" applyNumberFormat="1" applyFont="1" applyBorder="1" applyAlignment="1">
      <alignment vertical="top" wrapText="1"/>
    </xf>
  </cellXfs>
  <cellStyles count="1">
    <cellStyle name="Normal" xfId="0" builtinId="0"/>
  </cellStyles>
  <dxfs count="5">
    <dxf>
      <fill>
        <patternFill patternType="solid">
          <bgColor rgb="FFC6EFCE"/>
        </patternFill>
      </fill>
    </dxf>
    <dxf>
      <fill>
        <patternFill patternType="solid">
          <bgColor rgb="FFFFC7CE"/>
        </patternFill>
      </fill>
    </dxf>
    <dxf>
      <fill>
        <patternFill patternType="solid">
          <bgColor rgb="FFFFEB9C"/>
        </patternFill>
      </fill>
    </dxf>
    <dxf>
      <fill>
        <patternFill patternType="solid">
          <bgColor rgb="FFFFC7CE"/>
        </patternFill>
      </fill>
    </dxf>
    <dxf>
      <fill>
        <patternFill patternType="solid">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6"/>
  <sheetFormatPr defaultRowHeight="15" outlineLevelRow="0" outlineLevelCol="0" x14ac:dyDescent="55"/>
  <cols>
    <col min="1" max="1" width="32" customWidth="1"/>
    <col min="2" max="2" width="70" customWidth="1"/>
    <col min="3" max="5" width="10" customWidth="1"/>
  </cols>
  <sheetData>
    <row r="1" spans="1:1" x14ac:dyDescent="0.25">
      <c r="A1" s="1" t="s">
        <v>0</v>
      </c>
    </row>
    <row r="3" spans="1:2" x14ac:dyDescent="0.25">
      <c r="A3" s="2" t="s">
        <v>1</v>
      </c>
      <c r="B3" s="3" t="s">
        <v>2</v>
      </c>
    </row>
    <row r="4" spans="1:2" x14ac:dyDescent="0.25">
      <c r="A4" s="2" t="s">
        <v>3</v>
      </c>
      <c r="B4" s="3" t="s">
        <v>4</v>
      </c>
    </row>
    <row r="5" spans="1:2" x14ac:dyDescent="0.25">
      <c r="A5" s="2" t="s">
        <v>5</v>
      </c>
      <c r="B5" s="3" t="s">
        <v>6</v>
      </c>
    </row>
    <row r="6" spans="1:2" x14ac:dyDescent="0.25">
      <c r="A6" s="2" t="s">
        <v>7</v>
      </c>
      <c r="B6" s="3" t="s">
        <v>8</v>
      </c>
    </row>
    <row r="7" spans="1:2" x14ac:dyDescent="0.25">
      <c r="A7" s="2" t="s">
        <v>9</v>
      </c>
      <c r="B7" s="3" t="s">
        <v>10</v>
      </c>
    </row>
    <row r="8" spans="1:2" x14ac:dyDescent="0.25">
      <c r="A8" s="2" t="s">
        <v>11</v>
      </c>
      <c r="B8" s="3" t="s">
        <v>12</v>
      </c>
    </row>
    <row r="9" spans="1:2" x14ac:dyDescent="0.25">
      <c r="A9" s="2" t="s">
        <v>13</v>
      </c>
      <c r="B9" s="4" t="s">
        <v>14</v>
      </c>
    </row>
    <row r="10" spans="1:5" x14ac:dyDescent="0.25">
      <c r="A10" s="5" t="s">
        <v>15</v>
      </c>
      <c r="B10" s="5" t="s">
        <v>16</v>
      </c>
      <c r="C10" s="5" t="s">
        <v>17</v>
      </c>
      <c r="D10" s="5" t="s">
        <v>18</v>
      </c>
      <c r="E10" s="5" t="s">
        <v>19</v>
      </c>
    </row>
    <row r="11" spans="1:5" x14ac:dyDescent="0.25">
      <c r="A11" s="6" t="s">
        <v>20</v>
      </c>
      <c r="B11" s="6">
        <f>COUNTIF('Test Cases'!$B$2:$B$133,A11)</f>
      </c>
      <c r="C11" s="6">
        <f>COUNTIFS('Test Cases'!$B$2:$B$133,A11,'Test Cases'!$K$2:$K$133,"High")</f>
      </c>
      <c r="D11" s="6">
        <f>COUNTIFS('Test Cases'!$B$2:$B$133,A11,'Test Cases'!$L$2:$L$133,"Pass")</f>
      </c>
      <c r="E11" s="6">
        <f>COUNTIFS('Test Cases'!$B$2:$B$133,A11,'Test Cases'!$L$2:$L$133,"Fail")</f>
      </c>
    </row>
    <row r="12" spans="1:5" x14ac:dyDescent="0.25">
      <c r="A12" s="6" t="s">
        <v>21</v>
      </c>
      <c r="B12" s="6">
        <f>COUNTIF('Test Cases'!$B$2:$B$133,A12)</f>
      </c>
      <c r="C12" s="6">
        <f>COUNTIFS('Test Cases'!$B$2:$B$133,A12,'Test Cases'!$K$2:$K$133,"High")</f>
      </c>
      <c r="D12" s="6">
        <f>COUNTIFS('Test Cases'!$B$2:$B$133,A12,'Test Cases'!$L$2:$L$133,"Pass")</f>
      </c>
      <c r="E12" s="6">
        <f>COUNTIFS('Test Cases'!$B$2:$B$133,A12,'Test Cases'!$L$2:$L$133,"Fail")</f>
      </c>
    </row>
    <row r="13" spans="1:5" x14ac:dyDescent="0.25">
      <c r="A13" s="6" t="s">
        <v>22</v>
      </c>
      <c r="B13" s="6">
        <f>COUNTIF('Test Cases'!$B$2:$B$133,A13)</f>
      </c>
      <c r="C13" s="6">
        <f>COUNTIFS('Test Cases'!$B$2:$B$133,A13,'Test Cases'!$K$2:$K$133,"High")</f>
      </c>
      <c r="D13" s="6">
        <f>COUNTIFS('Test Cases'!$B$2:$B$133,A13,'Test Cases'!$L$2:$L$133,"Pass")</f>
      </c>
      <c r="E13" s="6">
        <f>COUNTIFS('Test Cases'!$B$2:$B$133,A13,'Test Cases'!$L$2:$L$133,"Fail")</f>
      </c>
    </row>
    <row r="14" spans="1:5" x14ac:dyDescent="0.25">
      <c r="A14" s="6" t="s">
        <v>23</v>
      </c>
      <c r="B14" s="6">
        <f>COUNTIF('Test Cases'!$B$2:$B$133,A14)</f>
      </c>
      <c r="C14" s="6">
        <f>COUNTIFS('Test Cases'!$B$2:$B$133,A14,'Test Cases'!$K$2:$K$133,"High")</f>
      </c>
      <c r="D14" s="6">
        <f>COUNTIFS('Test Cases'!$B$2:$B$133,A14,'Test Cases'!$L$2:$L$133,"Pass")</f>
      </c>
      <c r="E14" s="6">
        <f>COUNTIFS('Test Cases'!$B$2:$B$133,A14,'Test Cases'!$L$2:$L$133,"Fail")</f>
      </c>
    </row>
    <row r="15" spans="1:5" x14ac:dyDescent="0.25">
      <c r="A15" s="6" t="s">
        <v>24</v>
      </c>
      <c r="B15" s="6">
        <f>COUNTIF('Test Cases'!$B$2:$B$133,A15)</f>
      </c>
      <c r="C15" s="6">
        <f>COUNTIFS('Test Cases'!$B$2:$B$133,A15,'Test Cases'!$K$2:$K$133,"High")</f>
      </c>
      <c r="D15" s="6">
        <f>COUNTIFS('Test Cases'!$B$2:$B$133,A15,'Test Cases'!$L$2:$L$133,"Pass")</f>
      </c>
      <c r="E15" s="6">
        <f>COUNTIFS('Test Cases'!$B$2:$B$133,A15,'Test Cases'!$L$2:$L$133,"Fail")</f>
      </c>
    </row>
    <row r="16" spans="1:5" x14ac:dyDescent="0.25">
      <c r="A16" s="6" t="s">
        <v>25</v>
      </c>
      <c r="B16" s="6">
        <f>COUNTIF('Test Cases'!$B$2:$B$133,A16)</f>
      </c>
      <c r="C16" s="6">
        <f>COUNTIFS('Test Cases'!$B$2:$B$133,A16,'Test Cases'!$K$2:$K$133,"High")</f>
      </c>
      <c r="D16" s="6">
        <f>COUNTIFS('Test Cases'!$B$2:$B$133,A16,'Test Cases'!$L$2:$L$133,"Pass")</f>
      </c>
      <c r="E16" s="6">
        <f>COUNTIFS('Test Cases'!$B$2:$B$133,A16,'Test Cases'!$L$2:$L$133,"Fail")</f>
      </c>
    </row>
    <row r="17" spans="1:5" x14ac:dyDescent="0.25">
      <c r="A17" s="6" t="s">
        <v>26</v>
      </c>
      <c r="B17" s="6">
        <f>COUNTIF('Test Cases'!$B$2:$B$133,A17)</f>
      </c>
      <c r="C17" s="6">
        <f>COUNTIFS('Test Cases'!$B$2:$B$133,A17,'Test Cases'!$K$2:$K$133,"High")</f>
      </c>
      <c r="D17" s="6">
        <f>COUNTIFS('Test Cases'!$B$2:$B$133,A17,'Test Cases'!$L$2:$L$133,"Pass")</f>
      </c>
      <c r="E17" s="6">
        <f>COUNTIFS('Test Cases'!$B$2:$B$133,A17,'Test Cases'!$L$2:$L$133,"Fail")</f>
      </c>
    </row>
    <row r="18" spans="1:5" x14ac:dyDescent="0.25">
      <c r="A18" s="6" t="s">
        <v>27</v>
      </c>
      <c r="B18" s="6">
        <f>COUNTIF('Test Cases'!$B$2:$B$133,A18)</f>
      </c>
      <c r="C18" s="6">
        <f>COUNTIFS('Test Cases'!$B$2:$B$133,A18,'Test Cases'!$K$2:$K$133,"High")</f>
      </c>
      <c r="D18" s="6">
        <f>COUNTIFS('Test Cases'!$B$2:$B$133,A18,'Test Cases'!$L$2:$L$133,"Pass")</f>
      </c>
      <c r="E18" s="6">
        <f>COUNTIFS('Test Cases'!$B$2:$B$133,A18,'Test Cases'!$L$2:$L$133,"Fail")</f>
      </c>
    </row>
    <row r="19" spans="1:5" x14ac:dyDescent="0.25">
      <c r="A19" s="6" t="s">
        <v>28</v>
      </c>
      <c r="B19" s="6">
        <f>COUNTIF('Test Cases'!$B$2:$B$133,A19)</f>
      </c>
      <c r="C19" s="6">
        <f>COUNTIFS('Test Cases'!$B$2:$B$133,A19,'Test Cases'!$K$2:$K$133,"High")</f>
      </c>
      <c r="D19" s="6">
        <f>COUNTIFS('Test Cases'!$B$2:$B$133,A19,'Test Cases'!$L$2:$L$133,"Pass")</f>
      </c>
      <c r="E19" s="6">
        <f>COUNTIFS('Test Cases'!$B$2:$B$133,A19,'Test Cases'!$L$2:$L$133,"Fail")</f>
      </c>
    </row>
    <row r="20" spans="1:5" x14ac:dyDescent="0.25">
      <c r="A20" s="6" t="s">
        <v>29</v>
      </c>
      <c r="B20" s="6">
        <f>COUNTIF('Test Cases'!$B$2:$B$133,A20)</f>
      </c>
      <c r="C20" s="6">
        <f>COUNTIFS('Test Cases'!$B$2:$B$133,A20,'Test Cases'!$K$2:$K$133,"High")</f>
      </c>
      <c r="D20" s="6">
        <f>COUNTIFS('Test Cases'!$B$2:$B$133,A20,'Test Cases'!$L$2:$L$133,"Pass")</f>
      </c>
      <c r="E20" s="6">
        <f>COUNTIFS('Test Cases'!$B$2:$B$133,A20,'Test Cases'!$L$2:$L$133,"Fail")</f>
      </c>
    </row>
    <row r="21" spans="1:5" x14ac:dyDescent="0.25">
      <c r="A21" s="6" t="s">
        <v>30</v>
      </c>
      <c r="B21" s="6">
        <f>COUNTIF('Test Cases'!$B$2:$B$133,A21)</f>
      </c>
      <c r="C21" s="6">
        <f>COUNTIFS('Test Cases'!$B$2:$B$133,A21,'Test Cases'!$K$2:$K$133,"High")</f>
      </c>
      <c r="D21" s="6">
        <f>COUNTIFS('Test Cases'!$B$2:$B$133,A21,'Test Cases'!$L$2:$L$133,"Pass")</f>
      </c>
      <c r="E21" s="6">
        <f>COUNTIFS('Test Cases'!$B$2:$B$133,A21,'Test Cases'!$L$2:$L$133,"Fail")</f>
      </c>
    </row>
    <row r="22" spans="1:5" x14ac:dyDescent="0.25">
      <c r="A22" s="6" t="s">
        <v>31</v>
      </c>
      <c r="B22" s="6">
        <f>COUNTIF('Test Cases'!$B$2:$B$133,A22)</f>
      </c>
      <c r="C22" s="6">
        <f>COUNTIFS('Test Cases'!$B$2:$B$133,A22,'Test Cases'!$K$2:$K$133,"High")</f>
      </c>
      <c r="D22" s="6">
        <f>COUNTIFS('Test Cases'!$B$2:$B$133,A22,'Test Cases'!$L$2:$L$133,"Pass")</f>
      </c>
      <c r="E22" s="6">
        <f>COUNTIFS('Test Cases'!$B$2:$B$133,A22,'Test Cases'!$L$2:$L$133,"Fail")</f>
      </c>
    </row>
    <row r="23" spans="1:5" x14ac:dyDescent="0.25">
      <c r="A23" s="6" t="s">
        <v>32</v>
      </c>
      <c r="B23" s="6">
        <f>COUNTIF('Test Cases'!$B$2:$B$133,A23)</f>
      </c>
      <c r="C23" s="6">
        <f>COUNTIFS('Test Cases'!$B$2:$B$133,A23,'Test Cases'!$K$2:$K$133,"High")</f>
      </c>
      <c r="D23" s="6">
        <f>COUNTIFS('Test Cases'!$B$2:$B$133,A23,'Test Cases'!$L$2:$L$133,"Pass")</f>
      </c>
      <c r="E23" s="6">
        <f>COUNTIFS('Test Cases'!$B$2:$B$133,A23,'Test Cases'!$L$2:$L$133,"Fail")</f>
      </c>
    </row>
    <row r="24" spans="1:5" x14ac:dyDescent="0.25">
      <c r="A24" s="6" t="s">
        <v>33</v>
      </c>
      <c r="B24" s="6">
        <f>COUNTIF('Test Cases'!$B$2:$B$133,A24)</f>
      </c>
      <c r="C24" s="6">
        <f>COUNTIFS('Test Cases'!$B$2:$B$133,A24,'Test Cases'!$K$2:$K$133,"High")</f>
      </c>
      <c r="D24" s="6">
        <f>COUNTIFS('Test Cases'!$B$2:$B$133,A24,'Test Cases'!$L$2:$L$133,"Pass")</f>
      </c>
      <c r="E24" s="6">
        <f>COUNTIFS('Test Cases'!$B$2:$B$133,A24,'Test Cases'!$L$2:$L$133,"Fail")</f>
      </c>
    </row>
    <row r="25" spans="1:5" x14ac:dyDescent="0.25">
      <c r="A25" s="2" t="s">
        <v>34</v>
      </c>
      <c r="B25" s="2">
        <f>SUM(B11:B24)</f>
      </c>
      <c r="C25" s="2">
        <f>SUM(C11:C24)</f>
      </c>
      <c r="D25" s="2">
        <f>SUM(D11:D24)</f>
      </c>
      <c r="E25" s="2">
        <f>SUM(E11:E24)</f>
      </c>
    </row>
    <row r="27" spans="1:2" x14ac:dyDescent="0.25">
      <c r="A27" s="5" t="s">
        <v>35</v>
      </c>
      <c r="B27" s="5" t="s">
        <v>16</v>
      </c>
    </row>
    <row r="28" spans="1:2" x14ac:dyDescent="0.25">
      <c r="A28" s="6" t="s">
        <v>36</v>
      </c>
      <c r="B28" s="6">
        <f>COUNTIF('Test Cases'!$J$2:$J$133,A28)</f>
      </c>
    </row>
    <row r="29" spans="1:2" x14ac:dyDescent="0.25">
      <c r="A29" s="6" t="s">
        <v>37</v>
      </c>
      <c r="B29" s="6">
        <f>COUNTIF('Test Cases'!$J$2:$J$133,A29)</f>
      </c>
    </row>
    <row r="30" spans="1:2" x14ac:dyDescent="0.25">
      <c r="A30" s="6" t="s">
        <v>38</v>
      </c>
      <c r="B30" s="6">
        <f>COUNTIF('Test Cases'!$J$2:$J$133,A30)</f>
      </c>
    </row>
    <row r="31" spans="1:2" x14ac:dyDescent="0.25">
      <c r="A31" s="6" t="s">
        <v>39</v>
      </c>
      <c r="B31" s="6">
        <f>COUNTIF('Test Cases'!$J$2:$J$133,A31)</f>
      </c>
    </row>
    <row r="32" spans="1:2" x14ac:dyDescent="0.25">
      <c r="A32" s="6" t="s">
        <v>40</v>
      </c>
      <c r="B32" s="6">
        <f>COUNTIF('Test Cases'!$J$2:$J$133,A32)</f>
      </c>
    </row>
    <row r="33" spans="1:2" x14ac:dyDescent="0.25">
      <c r="A33" s="6" t="s">
        <v>41</v>
      </c>
      <c r="B33" s="6">
        <f>COUNTIF('Test Cases'!$J$2:$J$133,A33)</f>
      </c>
    </row>
    <row r="34" spans="1:2" x14ac:dyDescent="0.25">
      <c r="A34" s="6" t="s">
        <v>42</v>
      </c>
      <c r="B34" s="6">
        <f>COUNTIF('Test Cases'!$J$2:$J$133,A34)</f>
      </c>
    </row>
    <row r="35" spans="1:2" x14ac:dyDescent="0.25">
      <c r="A35" s="6" t="s">
        <v>43</v>
      </c>
      <c r="B35" s="6">
        <f>COUNTIF('Test Cases'!$J$2:$J$133,A35)</f>
      </c>
    </row>
    <row r="36" spans="1:2" x14ac:dyDescent="0.25">
      <c r="A36" s="6" t="s">
        <v>33</v>
      </c>
      <c r="B36" s="6">
        <f>COUNTIF('Test Cases'!$J$2:$J$133,A36)</f>
      </c>
    </row>
    <row r="38" spans="1:2" x14ac:dyDescent="0.25">
      <c r="A38" s="5" t="s">
        <v>44</v>
      </c>
      <c r="B38" s="5" t="s">
        <v>16</v>
      </c>
    </row>
    <row r="39" spans="1:2" x14ac:dyDescent="0.25">
      <c r="A39" s="6" t="s">
        <v>17</v>
      </c>
      <c r="B39" s="6">
        <f>COUNTIF('Test Cases'!$K$2:$K$133,A39)</f>
      </c>
    </row>
    <row r="40" spans="1:2" x14ac:dyDescent="0.25">
      <c r="A40" s="6" t="s">
        <v>45</v>
      </c>
      <c r="B40" s="6">
        <f>COUNTIF('Test Cases'!$K$2:$K$133,A40)</f>
      </c>
    </row>
    <row r="41" spans="1:2" x14ac:dyDescent="0.25">
      <c r="A41" s="6" t="s">
        <v>46</v>
      </c>
      <c r="B41" s="6">
        <f>COUNTIF('Test Cases'!$K$2:$K$133,A41)</f>
      </c>
    </row>
    <row r="43" spans="1:2" x14ac:dyDescent="0.25">
      <c r="A43" s="5" t="s">
        <v>47</v>
      </c>
      <c r="B43" s="5" t="s">
        <v>16</v>
      </c>
    </row>
    <row r="44" spans="1:2" x14ac:dyDescent="0.25">
      <c r="A44" s="6" t="s">
        <v>48</v>
      </c>
      <c r="B44" s="6">
        <f>COUNTIF('Test Cases'!$L$2:$L$133,A44)</f>
      </c>
    </row>
    <row r="45" spans="1:2" x14ac:dyDescent="0.25">
      <c r="A45" s="6" t="s">
        <v>18</v>
      </c>
      <c r="B45" s="6">
        <f>COUNTIF('Test Cases'!$L$2:$L$133,A45)</f>
      </c>
    </row>
    <row r="46" spans="1:2" x14ac:dyDescent="0.25">
      <c r="A46" s="6" t="s">
        <v>19</v>
      </c>
      <c r="B46" s="6">
        <f>COUNTIF('Test Cases'!$L$2:$L$133,A46)</f>
      </c>
    </row>
    <row r="47" spans="1:2" x14ac:dyDescent="0.25">
      <c r="A47" s="6" t="s">
        <v>49</v>
      </c>
      <c r="B47" s="6">
        <f>COUNTIF('Test Cases'!$L$2:$L$133,A47)</f>
      </c>
    </row>
    <row r="48" spans="1:2" x14ac:dyDescent="0.25">
      <c r="A48" s="6" t="s">
        <v>50</v>
      </c>
      <c r="B48" s="6">
        <f>COUNTIF('Test Cases'!$L$2:$L$133,A48)</f>
      </c>
    </row>
    <row r="50" spans="1:2" x14ac:dyDescent="0.25">
      <c r="A50" s="5" t="s">
        <v>51</v>
      </c>
      <c r="B50" s="5" t="s">
        <v>52</v>
      </c>
    </row>
    <row r="51" spans="1:2" x14ac:dyDescent="0.25">
      <c r="A51" s="6" t="s">
        <v>53</v>
      </c>
      <c r="B51" s="6">
        <f>COUNTA('Number Reconciliation'!$H$40:$H$74)</f>
      </c>
    </row>
    <row r="52" spans="1:2" x14ac:dyDescent="0.25">
      <c r="A52" s="6" t="s">
        <v>54</v>
      </c>
      <c r="B52" s="6">
        <f>COUNTIF('Number Reconciliation'!$H$40:$H$74,"Match")</f>
      </c>
    </row>
    <row r="53" spans="1:2" x14ac:dyDescent="0.25">
      <c r="A53" s="6" t="s">
        <v>55</v>
      </c>
      <c r="B53" s="6">
        <f>COUNTIF('Number Reconciliation'!$H$40:$H$74,"Mismatch")</f>
      </c>
    </row>
    <row r="54" spans="1:2" x14ac:dyDescent="0.25">
      <c r="A54" s="6" t="s">
        <v>56</v>
      </c>
      <c r="B54" s="6">
        <f>COUNTIF('Number Reconciliation'!$H$40:$H$74,"Not checked")</f>
      </c>
    </row>
    <row r="56" spans="1:2" x14ac:dyDescent="0.25">
      <c r="A56" s="2" t="s">
        <v>57</v>
      </c>
      <c r="B56">
        <f>COUNTA(Observations!$A$2:$A$21)</f>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3"/>
  <sheetViews>
    <sheetView workbookViewId="0" zoomScale="100" zoomScaleNormal="100">
      <pane xSplit="4" ySplit="1" topLeftCell="E2" activePane="bottomRight" state="frozen"/>
      <selection pane="bottomRight"/>
    </sheetView>
  </sheetViews>
  <sheetFormatPr defaultRowHeight="15" outlineLevelRow="0" outlineLevelCol="0" x14ac:dyDescent="55"/>
  <cols>
    <col min="2" max="2" width="18" customWidth="1"/>
    <col min="3" max="3" width="20" customWidth="1"/>
    <col min="4" max="4" width="38" customWidth="1"/>
    <col min="5" max="5" width="30" customWidth="1"/>
    <col min="6" max="6" width="44" customWidth="1"/>
    <col min="7" max="7" width="18" customWidth="1"/>
    <col min="8" max="8" width="52" customWidth="1"/>
    <col min="9" max="9" width="40" customWidth="1"/>
    <col min="10" max="10" width="13" customWidth="1"/>
    <col min="12" max="12" width="12" customWidth="1"/>
    <col min="13" max="13" width="60" customWidth="1"/>
  </cols>
  <sheetData>
    <row r="1" ht="30" customHeight="1" spans="1:13" x14ac:dyDescent="0.25">
      <c r="A1" s="7" t="s">
        <v>58</v>
      </c>
      <c r="B1" s="7" t="s">
        <v>59</v>
      </c>
      <c r="C1" s="7" t="s">
        <v>60</v>
      </c>
      <c r="D1" s="7" t="s">
        <v>61</v>
      </c>
      <c r="E1" s="7" t="s">
        <v>62</v>
      </c>
      <c r="F1" s="7" t="s">
        <v>63</v>
      </c>
      <c r="G1" s="7" t="s">
        <v>64</v>
      </c>
      <c r="H1" s="7" t="s">
        <v>65</v>
      </c>
      <c r="I1" s="7" t="s">
        <v>66</v>
      </c>
      <c r="J1" s="7" t="s">
        <v>67</v>
      </c>
      <c r="K1" s="7" t="s">
        <v>68</v>
      </c>
      <c r="L1" s="7" t="s">
        <v>69</v>
      </c>
      <c r="M1" s="7" t="s">
        <v>70</v>
      </c>
    </row>
    <row r="2" spans="1:13" x14ac:dyDescent="0.25">
      <c r="A2" s="8" t="s">
        <v>71</v>
      </c>
      <c r="B2" s="8" t="s">
        <v>20</v>
      </c>
      <c r="C2" s="8" t="s">
        <v>36</v>
      </c>
      <c r="D2" s="8" t="s">
        <v>72</v>
      </c>
      <c r="E2" s="8" t="s">
        <v>73</v>
      </c>
      <c r="F2" s="8" t="s">
        <v>74</v>
      </c>
      <c r="G2" s="8" t="s">
        <v>75</v>
      </c>
      <c r="H2" s="8" t="s">
        <v>76</v>
      </c>
      <c r="I2" s="8" t="s">
        <v>77</v>
      </c>
      <c r="J2" s="8" t="s">
        <v>36</v>
      </c>
      <c r="K2" s="8" t="s">
        <v>17</v>
      </c>
      <c r="L2" s="8" t="s">
        <v>18</v>
      </c>
      <c r="M2" s="8" t="s">
        <v>78</v>
      </c>
    </row>
    <row r="3" spans="1:13" x14ac:dyDescent="0.25">
      <c r="A3" s="8" t="s">
        <v>79</v>
      </c>
      <c r="B3" s="8" t="s">
        <v>20</v>
      </c>
      <c r="C3" s="8" t="s">
        <v>36</v>
      </c>
      <c r="D3" s="8" t="s">
        <v>80</v>
      </c>
      <c r="E3" s="8" t="s">
        <v>73</v>
      </c>
      <c r="F3" s="8" t="s">
        <v>81</v>
      </c>
      <c r="G3" s="8" t="s">
        <v>75</v>
      </c>
      <c r="H3" s="8" t="s">
        <v>82</v>
      </c>
      <c r="I3" s="8" t="s">
        <v>77</v>
      </c>
      <c r="J3" s="8" t="s">
        <v>36</v>
      </c>
      <c r="K3" s="8" t="s">
        <v>17</v>
      </c>
      <c r="L3" s="8" t="s">
        <v>18</v>
      </c>
      <c r="M3" s="8" t="s">
        <v>78</v>
      </c>
    </row>
    <row r="4" spans="1:13" x14ac:dyDescent="0.25">
      <c r="A4" s="8" t="s">
        <v>83</v>
      </c>
      <c r="B4" s="8" t="s">
        <v>20</v>
      </c>
      <c r="C4" s="8" t="s">
        <v>84</v>
      </c>
      <c r="D4" s="8" t="s">
        <v>85</v>
      </c>
      <c r="E4" s="8" t="s">
        <v>86</v>
      </c>
      <c r="F4" s="8" t="s">
        <v>87</v>
      </c>
      <c r="G4" s="8" t="s">
        <v>75</v>
      </c>
      <c r="H4" s="8" t="s">
        <v>88</v>
      </c>
      <c r="I4" s="8" t="s">
        <v>89</v>
      </c>
      <c r="J4" s="8" t="s">
        <v>36</v>
      </c>
      <c r="K4" s="8" t="s">
        <v>45</v>
      </c>
      <c r="L4" s="8" t="s">
        <v>18</v>
      </c>
      <c r="M4" s="8" t="s">
        <v>78</v>
      </c>
    </row>
    <row r="5" spans="1:13" x14ac:dyDescent="0.25">
      <c r="A5" s="8" t="s">
        <v>90</v>
      </c>
      <c r="B5" s="8" t="s">
        <v>20</v>
      </c>
      <c r="C5" s="8" t="s">
        <v>91</v>
      </c>
      <c r="D5" s="8" t="s">
        <v>92</v>
      </c>
      <c r="E5" s="8" t="s">
        <v>86</v>
      </c>
      <c r="F5" s="8" t="s">
        <v>93</v>
      </c>
      <c r="G5" s="8" t="s">
        <v>75</v>
      </c>
      <c r="H5" s="8" t="s">
        <v>94</v>
      </c>
      <c r="I5" s="8" t="s">
        <v>77</v>
      </c>
      <c r="J5" s="8" t="s">
        <v>37</v>
      </c>
      <c r="K5" s="8" t="s">
        <v>45</v>
      </c>
      <c r="L5" s="8" t="s">
        <v>18</v>
      </c>
      <c r="M5" s="8" t="s">
        <v>78</v>
      </c>
    </row>
    <row r="6" spans="1:13" x14ac:dyDescent="0.25">
      <c r="A6" s="8" t="s">
        <v>95</v>
      </c>
      <c r="B6" s="8" t="s">
        <v>20</v>
      </c>
      <c r="C6" s="8" t="s">
        <v>91</v>
      </c>
      <c r="D6" s="8" t="s">
        <v>96</v>
      </c>
      <c r="E6" s="8" t="s">
        <v>86</v>
      </c>
      <c r="F6" s="8" t="s">
        <v>97</v>
      </c>
      <c r="G6" s="8" t="s">
        <v>75</v>
      </c>
      <c r="H6" s="8" t="s">
        <v>98</v>
      </c>
      <c r="I6" s="8" t="s">
        <v>89</v>
      </c>
      <c r="J6" s="8" t="s">
        <v>36</v>
      </c>
      <c r="K6" s="8" t="s">
        <v>45</v>
      </c>
      <c r="L6" s="8" t="s">
        <v>18</v>
      </c>
      <c r="M6" s="8" t="s">
        <v>78</v>
      </c>
    </row>
    <row r="7" spans="1:13" x14ac:dyDescent="0.25">
      <c r="A7" s="8" t="s">
        <v>99</v>
      </c>
      <c r="B7" s="8" t="s">
        <v>20</v>
      </c>
      <c r="C7" s="8" t="s">
        <v>100</v>
      </c>
      <c r="D7" s="8" t="s">
        <v>101</v>
      </c>
      <c r="E7" s="8" t="s">
        <v>86</v>
      </c>
      <c r="F7" s="8" t="s">
        <v>102</v>
      </c>
      <c r="G7" s="8" t="s">
        <v>75</v>
      </c>
      <c r="H7" s="8" t="s">
        <v>103</v>
      </c>
      <c r="I7" s="8" t="s">
        <v>77</v>
      </c>
      <c r="J7" s="8" t="s">
        <v>37</v>
      </c>
      <c r="K7" s="8" t="s">
        <v>17</v>
      </c>
      <c r="L7" s="8" t="s">
        <v>18</v>
      </c>
      <c r="M7" s="8" t="s">
        <v>78</v>
      </c>
    </row>
    <row r="8" spans="1:13" x14ac:dyDescent="0.25">
      <c r="A8" s="8" t="s">
        <v>104</v>
      </c>
      <c r="B8" s="8" t="s">
        <v>20</v>
      </c>
      <c r="C8" s="8" t="s">
        <v>25</v>
      </c>
      <c r="D8" s="8" t="s">
        <v>105</v>
      </c>
      <c r="E8" s="8" t="s">
        <v>86</v>
      </c>
      <c r="F8" s="8" t="s">
        <v>106</v>
      </c>
      <c r="G8" s="8" t="s">
        <v>75</v>
      </c>
      <c r="H8" s="8" t="s">
        <v>107</v>
      </c>
      <c r="I8" s="8" t="s">
        <v>77</v>
      </c>
      <c r="J8" s="8" t="s">
        <v>37</v>
      </c>
      <c r="K8" s="8" t="s">
        <v>45</v>
      </c>
      <c r="L8" s="8" t="s">
        <v>18</v>
      </c>
      <c r="M8" s="8" t="s">
        <v>78</v>
      </c>
    </row>
    <row r="9" spans="1:13" x14ac:dyDescent="0.25">
      <c r="A9" s="8" t="s">
        <v>108</v>
      </c>
      <c r="B9" s="8" t="s">
        <v>20</v>
      </c>
      <c r="C9" s="8" t="s">
        <v>109</v>
      </c>
      <c r="D9" s="8" t="s">
        <v>110</v>
      </c>
      <c r="E9" s="8" t="s">
        <v>86</v>
      </c>
      <c r="F9" s="8" t="s">
        <v>111</v>
      </c>
      <c r="G9" s="8" t="s">
        <v>75</v>
      </c>
      <c r="H9" s="8" t="s">
        <v>112</v>
      </c>
      <c r="I9" s="8" t="s">
        <v>77</v>
      </c>
      <c r="J9" s="8" t="s">
        <v>37</v>
      </c>
      <c r="K9" s="8" t="s">
        <v>46</v>
      </c>
      <c r="L9" s="8" t="s">
        <v>18</v>
      </c>
      <c r="M9" s="8" t="s">
        <v>78</v>
      </c>
    </row>
    <row r="10" spans="1:13" x14ac:dyDescent="0.25">
      <c r="A10" s="8" t="s">
        <v>113</v>
      </c>
      <c r="B10" s="8" t="s">
        <v>20</v>
      </c>
      <c r="C10" s="8" t="s">
        <v>114</v>
      </c>
      <c r="D10" s="8" t="s">
        <v>115</v>
      </c>
      <c r="E10" s="8" t="s">
        <v>73</v>
      </c>
      <c r="F10" s="8" t="s">
        <v>116</v>
      </c>
      <c r="G10" s="8" t="s">
        <v>75</v>
      </c>
      <c r="H10" s="8" t="s">
        <v>117</v>
      </c>
      <c r="I10" s="8" t="s">
        <v>89</v>
      </c>
      <c r="J10" s="8" t="s">
        <v>37</v>
      </c>
      <c r="K10" s="8" t="s">
        <v>45</v>
      </c>
      <c r="L10" s="8" t="s">
        <v>18</v>
      </c>
      <c r="M10" s="8" t="s">
        <v>78</v>
      </c>
    </row>
    <row r="11" spans="1:13" x14ac:dyDescent="0.25">
      <c r="A11" s="8" t="s">
        <v>118</v>
      </c>
      <c r="B11" s="8" t="s">
        <v>20</v>
      </c>
      <c r="C11" s="8" t="s">
        <v>119</v>
      </c>
      <c r="D11" s="8" t="s">
        <v>120</v>
      </c>
      <c r="E11" s="8" t="s">
        <v>121</v>
      </c>
      <c r="F11" s="8" t="s">
        <v>122</v>
      </c>
      <c r="G11" s="8" t="s">
        <v>75</v>
      </c>
      <c r="H11" s="8" t="s">
        <v>123</v>
      </c>
      <c r="I11" s="8" t="s">
        <v>89</v>
      </c>
      <c r="J11" s="8" t="s">
        <v>38</v>
      </c>
      <c r="K11" s="8" t="s">
        <v>17</v>
      </c>
      <c r="L11" s="8" t="s">
        <v>18</v>
      </c>
      <c r="M11" s="8" t="s">
        <v>78</v>
      </c>
    </row>
    <row r="12" spans="1:13" x14ac:dyDescent="0.25">
      <c r="A12" s="8" t="s">
        <v>124</v>
      </c>
      <c r="B12" s="8" t="s">
        <v>20</v>
      </c>
      <c r="C12" s="8" t="s">
        <v>119</v>
      </c>
      <c r="D12" s="8" t="s">
        <v>125</v>
      </c>
      <c r="E12" s="8" t="s">
        <v>126</v>
      </c>
      <c r="F12" s="8" t="s">
        <v>127</v>
      </c>
      <c r="G12" s="8" t="s">
        <v>75</v>
      </c>
      <c r="H12" s="8" t="s">
        <v>128</v>
      </c>
      <c r="I12" s="8" t="s">
        <v>89</v>
      </c>
      <c r="J12" s="8" t="s">
        <v>38</v>
      </c>
      <c r="K12" s="8" t="s">
        <v>17</v>
      </c>
      <c r="L12" s="8" t="s">
        <v>49</v>
      </c>
      <c r="M12" s="8" t="s">
        <v>129</v>
      </c>
    </row>
    <row r="13" spans="1:13" x14ac:dyDescent="0.25">
      <c r="A13" s="8" t="s">
        <v>130</v>
      </c>
      <c r="B13" s="8" t="s">
        <v>21</v>
      </c>
      <c r="C13" s="8" t="s">
        <v>131</v>
      </c>
      <c r="D13" s="8" t="s">
        <v>132</v>
      </c>
      <c r="E13" s="8" t="s">
        <v>86</v>
      </c>
      <c r="F13" s="8" t="s">
        <v>133</v>
      </c>
      <c r="G13" s="8" t="s">
        <v>75</v>
      </c>
      <c r="H13" s="8" t="s">
        <v>134</v>
      </c>
      <c r="I13" s="8" t="s">
        <v>135</v>
      </c>
      <c r="J13" s="8" t="s">
        <v>37</v>
      </c>
      <c r="K13" s="8" t="s">
        <v>17</v>
      </c>
      <c r="L13" s="8" t="s">
        <v>18</v>
      </c>
      <c r="M13" s="8" t="s">
        <v>78</v>
      </c>
    </row>
    <row r="14" spans="1:13" x14ac:dyDescent="0.25">
      <c r="A14" s="8" t="s">
        <v>136</v>
      </c>
      <c r="B14" s="8" t="s">
        <v>21</v>
      </c>
      <c r="C14" s="8" t="s">
        <v>131</v>
      </c>
      <c r="D14" s="8" t="s">
        <v>137</v>
      </c>
      <c r="E14" s="8" t="s">
        <v>138</v>
      </c>
      <c r="F14" s="8" t="s">
        <v>139</v>
      </c>
      <c r="G14" s="8" t="s">
        <v>75</v>
      </c>
      <c r="H14" s="8" t="s">
        <v>140</v>
      </c>
      <c r="I14" s="8" t="s">
        <v>89</v>
      </c>
      <c r="J14" s="8" t="s">
        <v>39</v>
      </c>
      <c r="K14" s="8" t="s">
        <v>17</v>
      </c>
      <c r="L14" s="8" t="s">
        <v>18</v>
      </c>
      <c r="M14" s="8" t="s">
        <v>78</v>
      </c>
    </row>
    <row r="15" spans="1:13" x14ac:dyDescent="0.25">
      <c r="A15" s="8" t="s">
        <v>141</v>
      </c>
      <c r="B15" s="8" t="s">
        <v>21</v>
      </c>
      <c r="C15" s="8" t="s">
        <v>131</v>
      </c>
      <c r="D15" s="8" t="s">
        <v>142</v>
      </c>
      <c r="E15" s="8" t="s">
        <v>138</v>
      </c>
      <c r="F15" s="8" t="s">
        <v>143</v>
      </c>
      <c r="G15" s="8" t="s">
        <v>75</v>
      </c>
      <c r="H15" s="8" t="s">
        <v>144</v>
      </c>
      <c r="I15" s="8" t="s">
        <v>89</v>
      </c>
      <c r="J15" s="8" t="s">
        <v>39</v>
      </c>
      <c r="K15" s="8" t="s">
        <v>17</v>
      </c>
      <c r="L15" s="8" t="s">
        <v>18</v>
      </c>
      <c r="M15" s="8" t="s">
        <v>78</v>
      </c>
    </row>
    <row r="16" spans="1:13" x14ac:dyDescent="0.25">
      <c r="A16" s="8" t="s">
        <v>145</v>
      </c>
      <c r="B16" s="8" t="s">
        <v>21</v>
      </c>
      <c r="C16" s="8" t="s">
        <v>131</v>
      </c>
      <c r="D16" s="8" t="s">
        <v>146</v>
      </c>
      <c r="E16" s="8" t="s">
        <v>138</v>
      </c>
      <c r="F16" s="8" t="s">
        <v>147</v>
      </c>
      <c r="G16" s="8" t="s">
        <v>75</v>
      </c>
      <c r="H16" s="8" t="s">
        <v>148</v>
      </c>
      <c r="I16" s="8" t="s">
        <v>89</v>
      </c>
      <c r="J16" s="8" t="s">
        <v>39</v>
      </c>
      <c r="K16" s="8" t="s">
        <v>45</v>
      </c>
      <c r="L16" s="8" t="s">
        <v>18</v>
      </c>
      <c r="M16" s="8" t="s">
        <v>78</v>
      </c>
    </row>
    <row r="17" spans="1:13" x14ac:dyDescent="0.25">
      <c r="A17" s="8" t="s">
        <v>149</v>
      </c>
      <c r="B17" s="8" t="s">
        <v>21</v>
      </c>
      <c r="C17" s="8" t="s">
        <v>150</v>
      </c>
      <c r="D17" s="8" t="s">
        <v>151</v>
      </c>
      <c r="E17" s="8" t="s">
        <v>152</v>
      </c>
      <c r="F17" s="8" t="s">
        <v>153</v>
      </c>
      <c r="G17" s="8" t="s">
        <v>75</v>
      </c>
      <c r="H17" s="8" t="s">
        <v>154</v>
      </c>
      <c r="I17" s="8" t="s">
        <v>155</v>
      </c>
      <c r="J17" s="8" t="s">
        <v>38</v>
      </c>
      <c r="K17" s="8" t="s">
        <v>17</v>
      </c>
      <c r="L17" s="8" t="s">
        <v>49</v>
      </c>
      <c r="M17" s="8" t="s">
        <v>156</v>
      </c>
    </row>
    <row r="18" spans="1:13" x14ac:dyDescent="0.25">
      <c r="A18" s="8" t="s">
        <v>157</v>
      </c>
      <c r="B18" s="8" t="s">
        <v>22</v>
      </c>
      <c r="C18" s="8" t="s">
        <v>158</v>
      </c>
      <c r="D18" s="8" t="s">
        <v>159</v>
      </c>
      <c r="E18" s="8" t="s">
        <v>86</v>
      </c>
      <c r="F18" s="8" t="s">
        <v>160</v>
      </c>
      <c r="G18" s="8" t="s">
        <v>75</v>
      </c>
      <c r="H18" s="8" t="s">
        <v>161</v>
      </c>
      <c r="I18" s="8" t="s">
        <v>162</v>
      </c>
      <c r="J18" s="8" t="s">
        <v>40</v>
      </c>
      <c r="K18" s="8" t="s">
        <v>17</v>
      </c>
      <c r="L18" s="8" t="s">
        <v>18</v>
      </c>
      <c r="M18" s="8" t="s">
        <v>78</v>
      </c>
    </row>
    <row r="19" spans="1:13" x14ac:dyDescent="0.25">
      <c r="A19" s="8" t="s">
        <v>163</v>
      </c>
      <c r="B19" s="8" t="s">
        <v>22</v>
      </c>
      <c r="C19" s="8" t="s">
        <v>158</v>
      </c>
      <c r="D19" s="8" t="s">
        <v>164</v>
      </c>
      <c r="E19" s="8" t="s">
        <v>73</v>
      </c>
      <c r="F19" s="8" t="s">
        <v>165</v>
      </c>
      <c r="G19" s="8" t="s">
        <v>75</v>
      </c>
      <c r="H19" s="8" t="s">
        <v>166</v>
      </c>
      <c r="I19" s="8" t="s">
        <v>167</v>
      </c>
      <c r="J19" s="8" t="s">
        <v>40</v>
      </c>
      <c r="K19" s="8" t="s">
        <v>17</v>
      </c>
      <c r="L19" s="8" t="s">
        <v>19</v>
      </c>
      <c r="M19" s="8" t="s">
        <v>168</v>
      </c>
    </row>
    <row r="20" spans="1:13" x14ac:dyDescent="0.25">
      <c r="A20" s="8" t="s">
        <v>169</v>
      </c>
      <c r="B20" s="8" t="s">
        <v>22</v>
      </c>
      <c r="C20" s="8" t="s">
        <v>158</v>
      </c>
      <c r="D20" s="8" t="s">
        <v>170</v>
      </c>
      <c r="E20" s="8" t="s">
        <v>86</v>
      </c>
      <c r="F20" s="8" t="s">
        <v>171</v>
      </c>
      <c r="G20" s="8" t="s">
        <v>172</v>
      </c>
      <c r="H20" s="8" t="s">
        <v>173</v>
      </c>
      <c r="I20" s="8" t="s">
        <v>89</v>
      </c>
      <c r="J20" s="8" t="s">
        <v>40</v>
      </c>
      <c r="K20" s="8" t="s">
        <v>17</v>
      </c>
      <c r="L20" s="8" t="s">
        <v>18</v>
      </c>
      <c r="M20" s="8" t="s">
        <v>78</v>
      </c>
    </row>
    <row r="21" spans="1:13" x14ac:dyDescent="0.25">
      <c r="A21" s="8" t="s">
        <v>174</v>
      </c>
      <c r="B21" s="8" t="s">
        <v>22</v>
      </c>
      <c r="C21" s="8" t="s">
        <v>175</v>
      </c>
      <c r="D21" s="8" t="s">
        <v>176</v>
      </c>
      <c r="E21" s="8" t="s">
        <v>138</v>
      </c>
      <c r="F21" s="8" t="s">
        <v>177</v>
      </c>
      <c r="G21" s="8" t="s">
        <v>178</v>
      </c>
      <c r="H21" s="8" t="s">
        <v>179</v>
      </c>
      <c r="I21" s="8" t="s">
        <v>89</v>
      </c>
      <c r="J21" s="8" t="s">
        <v>39</v>
      </c>
      <c r="K21" s="8" t="s">
        <v>17</v>
      </c>
      <c r="L21" s="8" t="s">
        <v>18</v>
      </c>
      <c r="M21" s="8" t="s">
        <v>78</v>
      </c>
    </row>
    <row r="22" spans="1:13" x14ac:dyDescent="0.25">
      <c r="A22" s="8" t="s">
        <v>180</v>
      </c>
      <c r="B22" s="8" t="s">
        <v>22</v>
      </c>
      <c r="C22" s="8" t="s">
        <v>181</v>
      </c>
      <c r="D22" s="8" t="s">
        <v>182</v>
      </c>
      <c r="E22" s="8" t="s">
        <v>86</v>
      </c>
      <c r="F22" s="8" t="s">
        <v>183</v>
      </c>
      <c r="G22" s="8" t="s">
        <v>75</v>
      </c>
      <c r="H22" s="8" t="s">
        <v>184</v>
      </c>
      <c r="I22" s="8" t="s">
        <v>89</v>
      </c>
      <c r="J22" s="8" t="s">
        <v>40</v>
      </c>
      <c r="K22" s="8" t="s">
        <v>45</v>
      </c>
      <c r="L22" s="8" t="s">
        <v>18</v>
      </c>
      <c r="M22" s="8" t="s">
        <v>78</v>
      </c>
    </row>
    <row r="23" spans="1:13" x14ac:dyDescent="0.25">
      <c r="A23" s="8" t="s">
        <v>185</v>
      </c>
      <c r="B23" s="8" t="s">
        <v>22</v>
      </c>
      <c r="C23" s="8" t="s">
        <v>181</v>
      </c>
      <c r="D23" s="8" t="s">
        <v>186</v>
      </c>
      <c r="E23" s="8" t="s">
        <v>86</v>
      </c>
      <c r="F23" s="8" t="s">
        <v>187</v>
      </c>
      <c r="G23" s="8" t="s">
        <v>188</v>
      </c>
      <c r="H23" s="8" t="s">
        <v>189</v>
      </c>
      <c r="I23" s="8" t="s">
        <v>89</v>
      </c>
      <c r="J23" s="8" t="s">
        <v>39</v>
      </c>
      <c r="K23" s="8" t="s">
        <v>17</v>
      </c>
      <c r="L23" s="8" t="s">
        <v>18</v>
      </c>
      <c r="M23" s="8" t="s">
        <v>78</v>
      </c>
    </row>
    <row r="24" spans="1:13" x14ac:dyDescent="0.25">
      <c r="A24" s="8" t="s">
        <v>190</v>
      </c>
      <c r="B24" s="8" t="s">
        <v>22</v>
      </c>
      <c r="C24" s="8" t="s">
        <v>181</v>
      </c>
      <c r="D24" s="8" t="s">
        <v>191</v>
      </c>
      <c r="E24" s="8" t="s">
        <v>86</v>
      </c>
      <c r="F24" s="8" t="s">
        <v>192</v>
      </c>
      <c r="G24" s="8" t="s">
        <v>193</v>
      </c>
      <c r="H24" s="8" t="s">
        <v>194</v>
      </c>
      <c r="I24" s="8" t="s">
        <v>89</v>
      </c>
      <c r="J24" s="8" t="s">
        <v>41</v>
      </c>
      <c r="K24" s="8" t="s">
        <v>45</v>
      </c>
      <c r="L24" s="8" t="s">
        <v>19</v>
      </c>
      <c r="M24" s="8" t="s">
        <v>195</v>
      </c>
    </row>
    <row r="25" spans="1:13" x14ac:dyDescent="0.25">
      <c r="A25" s="8" t="s">
        <v>196</v>
      </c>
      <c r="B25" s="8" t="s">
        <v>22</v>
      </c>
      <c r="C25" s="8" t="s">
        <v>181</v>
      </c>
      <c r="D25" s="8" t="s">
        <v>197</v>
      </c>
      <c r="E25" s="8" t="s">
        <v>86</v>
      </c>
      <c r="F25" s="8" t="s">
        <v>198</v>
      </c>
      <c r="G25" s="8" t="s">
        <v>75</v>
      </c>
      <c r="H25" s="8" t="s">
        <v>199</v>
      </c>
      <c r="I25" s="8" t="s">
        <v>89</v>
      </c>
      <c r="J25" s="8" t="s">
        <v>41</v>
      </c>
      <c r="K25" s="8" t="s">
        <v>46</v>
      </c>
      <c r="L25" s="8" t="s">
        <v>18</v>
      </c>
      <c r="M25" s="8" t="s">
        <v>78</v>
      </c>
    </row>
    <row r="26" spans="1:13" x14ac:dyDescent="0.25">
      <c r="A26" s="8" t="s">
        <v>200</v>
      </c>
      <c r="B26" s="8" t="s">
        <v>22</v>
      </c>
      <c r="C26" s="8" t="s">
        <v>181</v>
      </c>
      <c r="D26" s="8" t="s">
        <v>201</v>
      </c>
      <c r="E26" s="8" t="s">
        <v>138</v>
      </c>
      <c r="F26" s="8" t="s">
        <v>202</v>
      </c>
      <c r="G26" s="8" t="s">
        <v>203</v>
      </c>
      <c r="H26" s="8" t="s">
        <v>204</v>
      </c>
      <c r="I26" s="8" t="s">
        <v>89</v>
      </c>
      <c r="J26" s="8" t="s">
        <v>41</v>
      </c>
      <c r="K26" s="8" t="s">
        <v>45</v>
      </c>
      <c r="L26" s="8" t="s">
        <v>18</v>
      </c>
      <c r="M26" s="8" t="s">
        <v>78</v>
      </c>
    </row>
    <row r="27" spans="1:13" x14ac:dyDescent="0.25">
      <c r="A27" s="8" t="s">
        <v>205</v>
      </c>
      <c r="B27" s="8" t="s">
        <v>22</v>
      </c>
      <c r="C27" s="8" t="s">
        <v>181</v>
      </c>
      <c r="D27" s="8" t="s">
        <v>206</v>
      </c>
      <c r="E27" s="8" t="s">
        <v>86</v>
      </c>
      <c r="F27" s="8" t="s">
        <v>207</v>
      </c>
      <c r="G27" s="8" t="s">
        <v>208</v>
      </c>
      <c r="H27" s="8" t="s">
        <v>209</v>
      </c>
      <c r="I27" s="8" t="s">
        <v>89</v>
      </c>
      <c r="J27" s="8" t="s">
        <v>41</v>
      </c>
      <c r="K27" s="8" t="s">
        <v>45</v>
      </c>
      <c r="L27" s="8" t="s">
        <v>18</v>
      </c>
      <c r="M27" s="8" t="s">
        <v>78</v>
      </c>
    </row>
    <row r="28" spans="1:13" x14ac:dyDescent="0.25">
      <c r="A28" s="8" t="s">
        <v>210</v>
      </c>
      <c r="B28" s="8" t="s">
        <v>22</v>
      </c>
      <c r="C28" s="8" t="s">
        <v>181</v>
      </c>
      <c r="D28" s="8" t="s">
        <v>211</v>
      </c>
      <c r="E28" s="8" t="s">
        <v>212</v>
      </c>
      <c r="F28" s="8" t="s">
        <v>213</v>
      </c>
      <c r="G28" s="8" t="s">
        <v>214</v>
      </c>
      <c r="H28" s="8" t="s">
        <v>215</v>
      </c>
      <c r="I28" s="8" t="s">
        <v>89</v>
      </c>
      <c r="J28" s="8" t="s">
        <v>39</v>
      </c>
      <c r="K28" s="8" t="s">
        <v>45</v>
      </c>
      <c r="L28" s="8" t="s">
        <v>18</v>
      </c>
      <c r="M28" s="8" t="s">
        <v>78</v>
      </c>
    </row>
    <row r="29" spans="1:13" x14ac:dyDescent="0.25">
      <c r="A29" s="8" t="s">
        <v>216</v>
      </c>
      <c r="B29" s="8" t="s">
        <v>22</v>
      </c>
      <c r="C29" s="8" t="s">
        <v>158</v>
      </c>
      <c r="D29" s="8" t="s">
        <v>217</v>
      </c>
      <c r="E29" s="8" t="s">
        <v>86</v>
      </c>
      <c r="F29" s="8" t="s">
        <v>218</v>
      </c>
      <c r="G29" s="8" t="s">
        <v>75</v>
      </c>
      <c r="H29" s="8" t="s">
        <v>219</v>
      </c>
      <c r="I29" s="8" t="s">
        <v>89</v>
      </c>
      <c r="J29" s="8" t="s">
        <v>42</v>
      </c>
      <c r="K29" s="8" t="s">
        <v>46</v>
      </c>
      <c r="L29" s="8" t="s">
        <v>18</v>
      </c>
      <c r="M29" s="8" t="s">
        <v>78</v>
      </c>
    </row>
    <row r="30" spans="1:13" x14ac:dyDescent="0.25">
      <c r="A30" s="8" t="s">
        <v>220</v>
      </c>
      <c r="B30" s="8" t="s">
        <v>23</v>
      </c>
      <c r="C30" s="8" t="s">
        <v>221</v>
      </c>
      <c r="D30" s="8" t="s">
        <v>222</v>
      </c>
      <c r="E30" s="8" t="s">
        <v>86</v>
      </c>
      <c r="F30" s="8" t="s">
        <v>223</v>
      </c>
      <c r="G30" s="8" t="s">
        <v>75</v>
      </c>
      <c r="H30" s="8" t="s">
        <v>224</v>
      </c>
      <c r="I30" s="8" t="s">
        <v>77</v>
      </c>
      <c r="J30" s="8" t="s">
        <v>40</v>
      </c>
      <c r="K30" s="8" t="s">
        <v>17</v>
      </c>
      <c r="L30" s="8" t="s">
        <v>18</v>
      </c>
      <c r="M30" s="8" t="s">
        <v>78</v>
      </c>
    </row>
    <row r="31" spans="1:13" x14ac:dyDescent="0.25">
      <c r="A31" s="8" t="s">
        <v>225</v>
      </c>
      <c r="B31" s="8" t="s">
        <v>23</v>
      </c>
      <c r="C31" s="8" t="s">
        <v>221</v>
      </c>
      <c r="D31" s="8" t="s">
        <v>226</v>
      </c>
      <c r="E31" s="8" t="s">
        <v>86</v>
      </c>
      <c r="F31" s="8" t="s">
        <v>227</v>
      </c>
      <c r="G31" s="8" t="s">
        <v>228</v>
      </c>
      <c r="H31" s="8" t="s">
        <v>229</v>
      </c>
      <c r="I31" s="8" t="s">
        <v>89</v>
      </c>
      <c r="J31" s="8" t="s">
        <v>40</v>
      </c>
      <c r="K31" s="8" t="s">
        <v>45</v>
      </c>
      <c r="L31" s="8" t="s">
        <v>18</v>
      </c>
      <c r="M31" s="8" t="s">
        <v>78</v>
      </c>
    </row>
    <row r="32" spans="1:13" x14ac:dyDescent="0.25">
      <c r="A32" s="8" t="s">
        <v>230</v>
      </c>
      <c r="B32" s="8" t="s">
        <v>23</v>
      </c>
      <c r="C32" s="8" t="s">
        <v>221</v>
      </c>
      <c r="D32" s="8" t="s">
        <v>231</v>
      </c>
      <c r="E32" s="8" t="s">
        <v>138</v>
      </c>
      <c r="F32" s="8" t="s">
        <v>232</v>
      </c>
      <c r="G32" s="8" t="s">
        <v>75</v>
      </c>
      <c r="H32" s="8" t="s">
        <v>233</v>
      </c>
      <c r="I32" s="8" t="s">
        <v>89</v>
      </c>
      <c r="J32" s="8" t="s">
        <v>39</v>
      </c>
      <c r="K32" s="8" t="s">
        <v>17</v>
      </c>
      <c r="L32" s="8" t="s">
        <v>18</v>
      </c>
      <c r="M32" s="8" t="s">
        <v>78</v>
      </c>
    </row>
    <row r="33" spans="1:13" x14ac:dyDescent="0.25">
      <c r="A33" s="8" t="s">
        <v>234</v>
      </c>
      <c r="B33" s="8" t="s">
        <v>23</v>
      </c>
      <c r="C33" s="8" t="s">
        <v>235</v>
      </c>
      <c r="D33" s="8" t="s">
        <v>236</v>
      </c>
      <c r="E33" s="8" t="s">
        <v>86</v>
      </c>
      <c r="F33" s="8" t="s">
        <v>237</v>
      </c>
      <c r="G33" s="8" t="s">
        <v>75</v>
      </c>
      <c r="H33" s="8" t="s">
        <v>238</v>
      </c>
      <c r="I33" s="8" t="s">
        <v>77</v>
      </c>
      <c r="J33" s="8" t="s">
        <v>40</v>
      </c>
      <c r="K33" s="8" t="s">
        <v>17</v>
      </c>
      <c r="L33" s="8" t="s">
        <v>18</v>
      </c>
      <c r="M33" s="8" t="s">
        <v>78</v>
      </c>
    </row>
    <row r="34" spans="1:13" x14ac:dyDescent="0.25">
      <c r="A34" s="8" t="s">
        <v>239</v>
      </c>
      <c r="B34" s="8" t="s">
        <v>23</v>
      </c>
      <c r="C34" s="8" t="s">
        <v>235</v>
      </c>
      <c r="D34" s="8" t="s">
        <v>240</v>
      </c>
      <c r="E34" s="8" t="s">
        <v>86</v>
      </c>
      <c r="F34" s="8" t="s">
        <v>241</v>
      </c>
      <c r="G34" s="8" t="s">
        <v>242</v>
      </c>
      <c r="H34" s="8" t="s">
        <v>243</v>
      </c>
      <c r="I34" s="8" t="s">
        <v>89</v>
      </c>
      <c r="J34" s="8" t="s">
        <v>40</v>
      </c>
      <c r="K34" s="8" t="s">
        <v>45</v>
      </c>
      <c r="L34" s="8" t="s">
        <v>18</v>
      </c>
      <c r="M34" s="8" t="s">
        <v>78</v>
      </c>
    </row>
    <row r="35" spans="1:13" x14ac:dyDescent="0.25">
      <c r="A35" s="8" t="s">
        <v>244</v>
      </c>
      <c r="B35" s="8" t="s">
        <v>23</v>
      </c>
      <c r="C35" s="8" t="s">
        <v>235</v>
      </c>
      <c r="D35" s="8" t="s">
        <v>245</v>
      </c>
      <c r="E35" s="8" t="s">
        <v>138</v>
      </c>
      <c r="F35" s="8" t="s">
        <v>246</v>
      </c>
      <c r="G35" s="8" t="s">
        <v>75</v>
      </c>
      <c r="H35" s="8" t="s">
        <v>247</v>
      </c>
      <c r="I35" s="8" t="s">
        <v>89</v>
      </c>
      <c r="J35" s="8" t="s">
        <v>39</v>
      </c>
      <c r="K35" s="8" t="s">
        <v>17</v>
      </c>
      <c r="L35" s="8" t="s">
        <v>18</v>
      </c>
      <c r="M35" s="8" t="s">
        <v>78</v>
      </c>
    </row>
    <row r="36" spans="1:13" x14ac:dyDescent="0.25">
      <c r="A36" s="8" t="s">
        <v>248</v>
      </c>
      <c r="B36" s="8" t="s">
        <v>23</v>
      </c>
      <c r="C36" s="8" t="s">
        <v>249</v>
      </c>
      <c r="D36" s="8" t="s">
        <v>250</v>
      </c>
      <c r="E36" s="8" t="s">
        <v>86</v>
      </c>
      <c r="F36" s="8" t="s">
        <v>251</v>
      </c>
      <c r="G36" s="8" t="s">
        <v>75</v>
      </c>
      <c r="H36" s="8" t="s">
        <v>252</v>
      </c>
      <c r="I36" s="8" t="s">
        <v>77</v>
      </c>
      <c r="J36" s="8" t="s">
        <v>40</v>
      </c>
      <c r="K36" s="8" t="s">
        <v>17</v>
      </c>
      <c r="L36" s="8" t="s">
        <v>18</v>
      </c>
      <c r="M36" s="8" t="s">
        <v>78</v>
      </c>
    </row>
    <row r="37" spans="1:13" x14ac:dyDescent="0.25">
      <c r="A37" s="8" t="s">
        <v>253</v>
      </c>
      <c r="B37" s="8" t="s">
        <v>23</v>
      </c>
      <c r="C37" s="8" t="s">
        <v>249</v>
      </c>
      <c r="D37" s="8" t="s">
        <v>254</v>
      </c>
      <c r="E37" s="8" t="s">
        <v>86</v>
      </c>
      <c r="F37" s="8" t="s">
        <v>255</v>
      </c>
      <c r="G37" s="8" t="s">
        <v>256</v>
      </c>
      <c r="H37" s="8" t="s">
        <v>257</v>
      </c>
      <c r="I37" s="8" t="s">
        <v>89</v>
      </c>
      <c r="J37" s="8" t="s">
        <v>40</v>
      </c>
      <c r="K37" s="8" t="s">
        <v>45</v>
      </c>
      <c r="L37" s="8" t="s">
        <v>19</v>
      </c>
      <c r="M37" s="8" t="s">
        <v>258</v>
      </c>
    </row>
    <row r="38" spans="1:13" x14ac:dyDescent="0.25">
      <c r="A38" s="8" t="s">
        <v>259</v>
      </c>
      <c r="B38" s="8" t="s">
        <v>23</v>
      </c>
      <c r="C38" s="8" t="s">
        <v>249</v>
      </c>
      <c r="D38" s="8" t="s">
        <v>260</v>
      </c>
      <c r="E38" s="8" t="s">
        <v>138</v>
      </c>
      <c r="F38" s="8" t="s">
        <v>261</v>
      </c>
      <c r="G38" s="8" t="s">
        <v>75</v>
      </c>
      <c r="H38" s="8" t="s">
        <v>262</v>
      </c>
      <c r="I38" s="8" t="s">
        <v>89</v>
      </c>
      <c r="J38" s="8" t="s">
        <v>39</v>
      </c>
      <c r="K38" s="8" t="s">
        <v>17</v>
      </c>
      <c r="L38" s="8" t="s">
        <v>18</v>
      </c>
      <c r="M38" s="8" t="s">
        <v>78</v>
      </c>
    </row>
    <row r="39" spans="1:13" x14ac:dyDescent="0.25">
      <c r="A39" s="8" t="s">
        <v>263</v>
      </c>
      <c r="B39" s="8" t="s">
        <v>23</v>
      </c>
      <c r="C39" s="8" t="s">
        <v>264</v>
      </c>
      <c r="D39" s="8" t="s">
        <v>265</v>
      </c>
      <c r="E39" s="8" t="s">
        <v>86</v>
      </c>
      <c r="F39" s="8" t="s">
        <v>266</v>
      </c>
      <c r="G39" s="8" t="s">
        <v>75</v>
      </c>
      <c r="H39" s="8" t="s">
        <v>267</v>
      </c>
      <c r="I39" s="8" t="s">
        <v>77</v>
      </c>
      <c r="J39" s="8" t="s">
        <v>40</v>
      </c>
      <c r="K39" s="8" t="s">
        <v>17</v>
      </c>
      <c r="L39" s="8" t="s">
        <v>18</v>
      </c>
      <c r="M39" s="8" t="s">
        <v>78</v>
      </c>
    </row>
    <row r="40" spans="1:13" x14ac:dyDescent="0.25">
      <c r="A40" s="8" t="s">
        <v>268</v>
      </c>
      <c r="B40" s="8" t="s">
        <v>23</v>
      </c>
      <c r="C40" s="8" t="s">
        <v>264</v>
      </c>
      <c r="D40" s="8" t="s">
        <v>269</v>
      </c>
      <c r="E40" s="8" t="s">
        <v>86</v>
      </c>
      <c r="F40" s="8" t="s">
        <v>270</v>
      </c>
      <c r="G40" s="8" t="s">
        <v>271</v>
      </c>
      <c r="H40" s="8" t="s">
        <v>272</v>
      </c>
      <c r="I40" s="8" t="s">
        <v>89</v>
      </c>
      <c r="J40" s="8" t="s">
        <v>40</v>
      </c>
      <c r="K40" s="8" t="s">
        <v>45</v>
      </c>
      <c r="L40" s="8" t="s">
        <v>18</v>
      </c>
      <c r="M40" s="8" t="s">
        <v>78</v>
      </c>
    </row>
    <row r="41" spans="1:13" x14ac:dyDescent="0.25">
      <c r="A41" s="8" t="s">
        <v>273</v>
      </c>
      <c r="B41" s="8" t="s">
        <v>23</v>
      </c>
      <c r="C41" s="8" t="s">
        <v>264</v>
      </c>
      <c r="D41" s="8" t="s">
        <v>274</v>
      </c>
      <c r="E41" s="8" t="s">
        <v>138</v>
      </c>
      <c r="F41" s="8" t="s">
        <v>275</v>
      </c>
      <c r="G41" s="8" t="s">
        <v>75</v>
      </c>
      <c r="H41" s="8" t="s">
        <v>276</v>
      </c>
      <c r="I41" s="8" t="s">
        <v>89</v>
      </c>
      <c r="J41" s="8" t="s">
        <v>39</v>
      </c>
      <c r="K41" s="8" t="s">
        <v>17</v>
      </c>
      <c r="L41" s="8" t="s">
        <v>18</v>
      </c>
      <c r="M41" s="8" t="s">
        <v>78</v>
      </c>
    </row>
    <row r="42" spans="1:13" x14ac:dyDescent="0.25">
      <c r="A42" s="8" t="s">
        <v>277</v>
      </c>
      <c r="B42" s="8" t="s">
        <v>23</v>
      </c>
      <c r="C42" s="8" t="s">
        <v>235</v>
      </c>
      <c r="D42" s="8" t="s">
        <v>278</v>
      </c>
      <c r="E42" s="8" t="s">
        <v>86</v>
      </c>
      <c r="F42" s="8" t="s">
        <v>279</v>
      </c>
      <c r="G42" s="8" t="s">
        <v>75</v>
      </c>
      <c r="H42" s="8" t="s">
        <v>280</v>
      </c>
      <c r="I42" s="8" t="s">
        <v>89</v>
      </c>
      <c r="J42" s="8" t="s">
        <v>40</v>
      </c>
      <c r="K42" s="8" t="s">
        <v>45</v>
      </c>
      <c r="L42" s="8" t="s">
        <v>19</v>
      </c>
      <c r="M42" s="8" t="s">
        <v>281</v>
      </c>
    </row>
    <row r="43" spans="1:13" x14ac:dyDescent="0.25">
      <c r="A43" s="8" t="s">
        <v>282</v>
      </c>
      <c r="B43" s="8" t="s">
        <v>23</v>
      </c>
      <c r="C43" s="8" t="s">
        <v>235</v>
      </c>
      <c r="D43" s="8" t="s">
        <v>283</v>
      </c>
      <c r="E43" s="8" t="s">
        <v>138</v>
      </c>
      <c r="F43" s="8" t="s">
        <v>284</v>
      </c>
      <c r="G43" s="8" t="s">
        <v>285</v>
      </c>
      <c r="H43" s="8" t="s">
        <v>286</v>
      </c>
      <c r="I43" s="8" t="s">
        <v>89</v>
      </c>
      <c r="J43" s="8" t="s">
        <v>39</v>
      </c>
      <c r="K43" s="8" t="s">
        <v>45</v>
      </c>
      <c r="L43" s="8" t="s">
        <v>18</v>
      </c>
      <c r="M43" s="8" t="s">
        <v>78</v>
      </c>
    </row>
    <row r="44" spans="1:13" x14ac:dyDescent="0.25">
      <c r="A44" s="8" t="s">
        <v>287</v>
      </c>
      <c r="B44" s="8" t="s">
        <v>23</v>
      </c>
      <c r="C44" s="8" t="s">
        <v>221</v>
      </c>
      <c r="D44" s="8" t="s">
        <v>288</v>
      </c>
      <c r="E44" s="8" t="s">
        <v>86</v>
      </c>
      <c r="F44" s="8" t="s">
        <v>289</v>
      </c>
      <c r="G44" s="8" t="s">
        <v>75</v>
      </c>
      <c r="H44" s="8" t="s">
        <v>290</v>
      </c>
      <c r="I44" s="8" t="s">
        <v>89</v>
      </c>
      <c r="J44" s="8" t="s">
        <v>41</v>
      </c>
      <c r="K44" s="8" t="s">
        <v>45</v>
      </c>
      <c r="L44" s="8" t="s">
        <v>18</v>
      </c>
      <c r="M44" s="8" t="s">
        <v>78</v>
      </c>
    </row>
    <row r="45" spans="1:13" x14ac:dyDescent="0.25">
      <c r="A45" s="8" t="s">
        <v>291</v>
      </c>
      <c r="B45" s="8" t="s">
        <v>23</v>
      </c>
      <c r="C45" s="8" t="s">
        <v>292</v>
      </c>
      <c r="D45" s="8" t="s">
        <v>293</v>
      </c>
      <c r="E45" s="8" t="s">
        <v>138</v>
      </c>
      <c r="F45" s="8" t="s">
        <v>294</v>
      </c>
      <c r="G45" s="8" t="s">
        <v>75</v>
      </c>
      <c r="H45" s="8" t="s">
        <v>295</v>
      </c>
      <c r="I45" s="8" t="s">
        <v>89</v>
      </c>
      <c r="J45" s="8" t="s">
        <v>39</v>
      </c>
      <c r="K45" s="8" t="s">
        <v>17</v>
      </c>
      <c r="L45" s="8" t="s">
        <v>18</v>
      </c>
      <c r="M45" s="8" t="s">
        <v>78</v>
      </c>
    </row>
    <row r="46" spans="1:13" x14ac:dyDescent="0.25">
      <c r="A46" s="8" t="s">
        <v>296</v>
      </c>
      <c r="B46" s="8" t="s">
        <v>23</v>
      </c>
      <c r="C46" s="8" t="s">
        <v>292</v>
      </c>
      <c r="D46" s="8" t="s">
        <v>297</v>
      </c>
      <c r="E46" s="8" t="s">
        <v>86</v>
      </c>
      <c r="F46" s="8" t="s">
        <v>298</v>
      </c>
      <c r="G46" s="8" t="s">
        <v>75</v>
      </c>
      <c r="H46" s="8" t="s">
        <v>299</v>
      </c>
      <c r="I46" s="8" t="s">
        <v>89</v>
      </c>
      <c r="J46" s="8" t="s">
        <v>39</v>
      </c>
      <c r="K46" s="8" t="s">
        <v>45</v>
      </c>
      <c r="L46" s="8" t="s">
        <v>18</v>
      </c>
      <c r="M46" s="8" t="s">
        <v>78</v>
      </c>
    </row>
    <row r="47" spans="1:13" x14ac:dyDescent="0.25">
      <c r="A47" s="8" t="s">
        <v>300</v>
      </c>
      <c r="B47" s="8" t="s">
        <v>23</v>
      </c>
      <c r="C47" s="8" t="s">
        <v>301</v>
      </c>
      <c r="D47" s="8" t="s">
        <v>302</v>
      </c>
      <c r="E47" s="8" t="s">
        <v>138</v>
      </c>
      <c r="F47" s="8" t="s">
        <v>303</v>
      </c>
      <c r="G47" s="8" t="s">
        <v>75</v>
      </c>
      <c r="H47" s="8" t="s">
        <v>304</v>
      </c>
      <c r="I47" s="8" t="s">
        <v>89</v>
      </c>
      <c r="J47" s="8" t="s">
        <v>39</v>
      </c>
      <c r="K47" s="8" t="s">
        <v>45</v>
      </c>
      <c r="L47" s="8" t="s">
        <v>18</v>
      </c>
      <c r="M47" s="8" t="s">
        <v>78</v>
      </c>
    </row>
    <row r="48" spans="1:13" x14ac:dyDescent="0.25">
      <c r="A48" s="8" t="s">
        <v>305</v>
      </c>
      <c r="B48" s="8" t="s">
        <v>23</v>
      </c>
      <c r="C48" s="8" t="s">
        <v>301</v>
      </c>
      <c r="D48" s="8" t="s">
        <v>306</v>
      </c>
      <c r="E48" s="8" t="s">
        <v>86</v>
      </c>
      <c r="F48" s="8" t="s">
        <v>307</v>
      </c>
      <c r="G48" s="8" t="s">
        <v>75</v>
      </c>
      <c r="H48" s="8" t="s">
        <v>308</v>
      </c>
      <c r="I48" s="8" t="s">
        <v>89</v>
      </c>
      <c r="J48" s="8" t="s">
        <v>39</v>
      </c>
      <c r="K48" s="8" t="s">
        <v>45</v>
      </c>
      <c r="L48" s="8" t="s">
        <v>18</v>
      </c>
      <c r="M48" s="8" t="s">
        <v>78</v>
      </c>
    </row>
    <row r="49" spans="1:13" x14ac:dyDescent="0.25">
      <c r="A49" s="8" t="s">
        <v>309</v>
      </c>
      <c r="B49" s="8" t="s">
        <v>23</v>
      </c>
      <c r="C49" s="8" t="s">
        <v>301</v>
      </c>
      <c r="D49" s="8" t="s">
        <v>310</v>
      </c>
      <c r="E49" s="8" t="s">
        <v>86</v>
      </c>
      <c r="F49" s="8" t="s">
        <v>311</v>
      </c>
      <c r="G49" s="8" t="s">
        <v>75</v>
      </c>
      <c r="H49" s="8" t="s">
        <v>312</v>
      </c>
      <c r="I49" s="8" t="s">
        <v>89</v>
      </c>
      <c r="J49" s="8" t="s">
        <v>39</v>
      </c>
      <c r="K49" s="8" t="s">
        <v>46</v>
      </c>
      <c r="L49" s="8" t="s">
        <v>18</v>
      </c>
      <c r="M49" s="8" t="s">
        <v>313</v>
      </c>
    </row>
    <row r="50" spans="1:13" x14ac:dyDescent="0.25">
      <c r="A50" s="8" t="s">
        <v>314</v>
      </c>
      <c r="B50" s="8" t="s">
        <v>23</v>
      </c>
      <c r="C50" s="8" t="s">
        <v>100</v>
      </c>
      <c r="D50" s="8" t="s">
        <v>315</v>
      </c>
      <c r="E50" s="8" t="s">
        <v>86</v>
      </c>
      <c r="F50" s="8" t="s">
        <v>316</v>
      </c>
      <c r="G50" s="8" t="s">
        <v>75</v>
      </c>
      <c r="H50" s="8" t="s">
        <v>317</v>
      </c>
      <c r="I50" s="8" t="s">
        <v>89</v>
      </c>
      <c r="J50" s="8" t="s">
        <v>37</v>
      </c>
      <c r="K50" s="8" t="s">
        <v>46</v>
      </c>
      <c r="L50" s="8" t="s">
        <v>19</v>
      </c>
      <c r="M50" s="8" t="s">
        <v>318</v>
      </c>
    </row>
    <row r="51" spans="1:13" x14ac:dyDescent="0.25">
      <c r="A51" s="8" t="s">
        <v>319</v>
      </c>
      <c r="B51" s="8" t="s">
        <v>23</v>
      </c>
      <c r="C51" s="8" t="s">
        <v>42</v>
      </c>
      <c r="D51" s="8" t="s">
        <v>320</v>
      </c>
      <c r="E51" s="8" t="s">
        <v>86</v>
      </c>
      <c r="F51" s="8" t="s">
        <v>321</v>
      </c>
      <c r="G51" s="8" t="s">
        <v>75</v>
      </c>
      <c r="H51" s="8" t="s">
        <v>322</v>
      </c>
      <c r="I51" s="8" t="s">
        <v>89</v>
      </c>
      <c r="J51" s="8" t="s">
        <v>42</v>
      </c>
      <c r="K51" s="8" t="s">
        <v>46</v>
      </c>
      <c r="L51" s="8" t="s">
        <v>18</v>
      </c>
      <c r="M51" s="8" t="s">
        <v>78</v>
      </c>
    </row>
    <row r="52" spans="1:13" x14ac:dyDescent="0.25">
      <c r="A52" s="8" t="s">
        <v>323</v>
      </c>
      <c r="B52" s="8" t="s">
        <v>24</v>
      </c>
      <c r="C52" s="8" t="s">
        <v>324</v>
      </c>
      <c r="D52" s="8" t="s">
        <v>325</v>
      </c>
      <c r="E52" s="8" t="s">
        <v>86</v>
      </c>
      <c r="F52" s="8" t="s">
        <v>326</v>
      </c>
      <c r="G52" s="8" t="s">
        <v>75</v>
      </c>
      <c r="H52" s="8" t="s">
        <v>327</v>
      </c>
      <c r="I52" s="8" t="s">
        <v>89</v>
      </c>
      <c r="J52" s="8" t="s">
        <v>37</v>
      </c>
      <c r="K52" s="8" t="s">
        <v>45</v>
      </c>
      <c r="L52" s="8" t="s">
        <v>18</v>
      </c>
      <c r="M52" s="8" t="s">
        <v>78</v>
      </c>
    </row>
    <row r="53" spans="1:13" x14ac:dyDescent="0.25">
      <c r="A53" s="8" t="s">
        <v>328</v>
      </c>
      <c r="B53" s="8" t="s">
        <v>24</v>
      </c>
      <c r="C53" s="8" t="s">
        <v>324</v>
      </c>
      <c r="D53" s="8" t="s">
        <v>329</v>
      </c>
      <c r="E53" s="8" t="s">
        <v>86</v>
      </c>
      <c r="F53" s="8" t="s">
        <v>330</v>
      </c>
      <c r="G53" s="8" t="s">
        <v>75</v>
      </c>
      <c r="H53" s="8" t="s">
        <v>331</v>
      </c>
      <c r="I53" s="8" t="s">
        <v>89</v>
      </c>
      <c r="J53" s="8" t="s">
        <v>39</v>
      </c>
      <c r="K53" s="8" t="s">
        <v>17</v>
      </c>
      <c r="L53" s="8" t="s">
        <v>18</v>
      </c>
      <c r="M53" s="8" t="s">
        <v>78</v>
      </c>
    </row>
    <row r="54" spans="1:13" x14ac:dyDescent="0.25">
      <c r="A54" s="8" t="s">
        <v>332</v>
      </c>
      <c r="B54" s="8" t="s">
        <v>24</v>
      </c>
      <c r="C54" s="8" t="s">
        <v>324</v>
      </c>
      <c r="D54" s="8" t="s">
        <v>333</v>
      </c>
      <c r="E54" s="8" t="s">
        <v>86</v>
      </c>
      <c r="F54" s="8" t="s">
        <v>334</v>
      </c>
      <c r="G54" s="8" t="s">
        <v>75</v>
      </c>
      <c r="H54" s="8" t="s">
        <v>335</v>
      </c>
      <c r="I54" s="8" t="s">
        <v>89</v>
      </c>
      <c r="J54" s="8" t="s">
        <v>39</v>
      </c>
      <c r="K54" s="8" t="s">
        <v>46</v>
      </c>
      <c r="L54" s="8" t="s">
        <v>18</v>
      </c>
      <c r="M54" s="8" t="s">
        <v>313</v>
      </c>
    </row>
    <row r="55" spans="1:13" x14ac:dyDescent="0.25">
      <c r="A55" s="8" t="s">
        <v>336</v>
      </c>
      <c r="B55" s="8" t="s">
        <v>25</v>
      </c>
      <c r="C55" s="8" t="s">
        <v>337</v>
      </c>
      <c r="D55" s="8" t="s">
        <v>338</v>
      </c>
      <c r="E55" s="8" t="s">
        <v>138</v>
      </c>
      <c r="F55" s="8" t="s">
        <v>339</v>
      </c>
      <c r="G55" s="8" t="s">
        <v>75</v>
      </c>
      <c r="H55" s="8" t="s">
        <v>340</v>
      </c>
      <c r="I55" s="8" t="s">
        <v>341</v>
      </c>
      <c r="J55" s="8" t="s">
        <v>39</v>
      </c>
      <c r="K55" s="8" t="s">
        <v>17</v>
      </c>
      <c r="L55" s="8" t="s">
        <v>18</v>
      </c>
      <c r="M55" s="8" t="s">
        <v>78</v>
      </c>
    </row>
    <row r="56" spans="1:13" x14ac:dyDescent="0.25">
      <c r="A56" s="8" t="s">
        <v>342</v>
      </c>
      <c r="B56" s="8" t="s">
        <v>25</v>
      </c>
      <c r="C56" s="8" t="s">
        <v>343</v>
      </c>
      <c r="D56" s="8" t="s">
        <v>344</v>
      </c>
      <c r="E56" s="8" t="s">
        <v>138</v>
      </c>
      <c r="F56" s="8" t="s">
        <v>345</v>
      </c>
      <c r="G56" s="8" t="s">
        <v>75</v>
      </c>
      <c r="H56" s="8" t="s">
        <v>346</v>
      </c>
      <c r="I56" s="8" t="s">
        <v>347</v>
      </c>
      <c r="J56" s="8" t="s">
        <v>37</v>
      </c>
      <c r="K56" s="8" t="s">
        <v>45</v>
      </c>
      <c r="L56" s="8" t="s">
        <v>18</v>
      </c>
      <c r="M56" s="8" t="s">
        <v>78</v>
      </c>
    </row>
    <row r="57" spans="1:13" x14ac:dyDescent="0.25">
      <c r="A57" s="8" t="s">
        <v>348</v>
      </c>
      <c r="B57" s="8" t="s">
        <v>25</v>
      </c>
      <c r="C57" s="8" t="s">
        <v>349</v>
      </c>
      <c r="D57" s="8" t="s">
        <v>350</v>
      </c>
      <c r="E57" s="8" t="s">
        <v>86</v>
      </c>
      <c r="F57" s="8" t="s">
        <v>351</v>
      </c>
      <c r="G57" s="8" t="s">
        <v>75</v>
      </c>
      <c r="H57" s="8" t="s">
        <v>352</v>
      </c>
      <c r="I57" s="8" t="s">
        <v>353</v>
      </c>
      <c r="J57" s="8" t="s">
        <v>39</v>
      </c>
      <c r="K57" s="8" t="s">
        <v>45</v>
      </c>
      <c r="L57" s="8" t="s">
        <v>18</v>
      </c>
      <c r="M57" s="8" t="s">
        <v>78</v>
      </c>
    </row>
    <row r="58" spans="1:13" x14ac:dyDescent="0.25">
      <c r="A58" s="8" t="s">
        <v>354</v>
      </c>
      <c r="B58" s="8" t="s">
        <v>25</v>
      </c>
      <c r="C58" s="8" t="s">
        <v>355</v>
      </c>
      <c r="D58" s="8" t="s">
        <v>356</v>
      </c>
      <c r="E58" s="8" t="s">
        <v>86</v>
      </c>
      <c r="F58" s="8" t="s">
        <v>357</v>
      </c>
      <c r="G58" s="8" t="s">
        <v>75</v>
      </c>
      <c r="H58" s="8" t="s">
        <v>358</v>
      </c>
      <c r="I58" s="8" t="s">
        <v>359</v>
      </c>
      <c r="J58" s="8" t="s">
        <v>39</v>
      </c>
      <c r="K58" s="8" t="s">
        <v>45</v>
      </c>
      <c r="L58" s="8" t="s">
        <v>18</v>
      </c>
      <c r="M58" s="8" t="s">
        <v>78</v>
      </c>
    </row>
    <row r="59" spans="1:13" x14ac:dyDescent="0.25">
      <c r="A59" s="8" t="s">
        <v>360</v>
      </c>
      <c r="B59" s="8" t="s">
        <v>26</v>
      </c>
      <c r="C59" s="8" t="s">
        <v>361</v>
      </c>
      <c r="D59" s="8" t="s">
        <v>362</v>
      </c>
      <c r="E59" s="8" t="s">
        <v>86</v>
      </c>
      <c r="F59" s="8" t="s">
        <v>363</v>
      </c>
      <c r="G59" s="8" t="s">
        <v>75</v>
      </c>
      <c r="H59" s="8" t="s">
        <v>364</v>
      </c>
      <c r="I59" s="8" t="s">
        <v>77</v>
      </c>
      <c r="J59" s="8" t="s">
        <v>37</v>
      </c>
      <c r="K59" s="8" t="s">
        <v>45</v>
      </c>
      <c r="L59" s="8" t="s">
        <v>18</v>
      </c>
      <c r="M59" s="8" t="s">
        <v>78</v>
      </c>
    </row>
    <row r="60" spans="1:13" x14ac:dyDescent="0.25">
      <c r="A60" s="8" t="s">
        <v>365</v>
      </c>
      <c r="B60" s="8" t="s">
        <v>26</v>
      </c>
      <c r="C60" s="8" t="s">
        <v>361</v>
      </c>
      <c r="D60" s="8" t="s">
        <v>366</v>
      </c>
      <c r="E60" s="8" t="s">
        <v>86</v>
      </c>
      <c r="F60" s="8" t="s">
        <v>367</v>
      </c>
      <c r="G60" s="8" t="s">
        <v>75</v>
      </c>
      <c r="H60" s="8" t="s">
        <v>368</v>
      </c>
      <c r="I60" s="8" t="s">
        <v>369</v>
      </c>
      <c r="J60" s="8" t="s">
        <v>39</v>
      </c>
      <c r="K60" s="8" t="s">
        <v>45</v>
      </c>
      <c r="L60" s="8" t="s">
        <v>18</v>
      </c>
      <c r="M60" s="8" t="s">
        <v>78</v>
      </c>
    </row>
    <row r="61" spans="1:13" x14ac:dyDescent="0.25">
      <c r="A61" s="8" t="s">
        <v>370</v>
      </c>
      <c r="B61" s="8" t="s">
        <v>26</v>
      </c>
      <c r="C61" s="8" t="s">
        <v>361</v>
      </c>
      <c r="D61" s="8" t="s">
        <v>371</v>
      </c>
      <c r="E61" s="8" t="s">
        <v>86</v>
      </c>
      <c r="F61" s="8" t="s">
        <v>372</v>
      </c>
      <c r="G61" s="8" t="s">
        <v>75</v>
      </c>
      <c r="H61" s="8" t="s">
        <v>373</v>
      </c>
      <c r="I61" s="8" t="s">
        <v>374</v>
      </c>
      <c r="J61" s="8" t="s">
        <v>37</v>
      </c>
      <c r="K61" s="8" t="s">
        <v>46</v>
      </c>
      <c r="L61" s="8" t="s">
        <v>19</v>
      </c>
      <c r="M61" s="8" t="s">
        <v>375</v>
      </c>
    </row>
    <row r="62" spans="1:13" x14ac:dyDescent="0.25">
      <c r="A62" s="8" t="s">
        <v>376</v>
      </c>
      <c r="B62" s="8" t="s">
        <v>26</v>
      </c>
      <c r="C62" s="8" t="s">
        <v>377</v>
      </c>
      <c r="D62" s="8" t="s">
        <v>378</v>
      </c>
      <c r="E62" s="8" t="s">
        <v>86</v>
      </c>
      <c r="F62" s="8" t="s">
        <v>379</v>
      </c>
      <c r="G62" s="8" t="s">
        <v>75</v>
      </c>
      <c r="H62" s="8" t="s">
        <v>380</v>
      </c>
      <c r="I62" s="8" t="s">
        <v>381</v>
      </c>
      <c r="J62" s="8" t="s">
        <v>37</v>
      </c>
      <c r="K62" s="8" t="s">
        <v>45</v>
      </c>
      <c r="L62" s="8" t="s">
        <v>18</v>
      </c>
      <c r="M62" s="8" t="s">
        <v>78</v>
      </c>
    </row>
    <row r="63" spans="1:13" x14ac:dyDescent="0.25">
      <c r="A63" s="8" t="s">
        <v>382</v>
      </c>
      <c r="B63" s="8" t="s">
        <v>26</v>
      </c>
      <c r="C63" s="8" t="s">
        <v>383</v>
      </c>
      <c r="D63" s="8" t="s">
        <v>384</v>
      </c>
      <c r="E63" s="8" t="s">
        <v>86</v>
      </c>
      <c r="F63" s="8" t="s">
        <v>385</v>
      </c>
      <c r="G63" s="8" t="s">
        <v>75</v>
      </c>
      <c r="H63" s="8" t="s">
        <v>386</v>
      </c>
      <c r="I63" s="8" t="s">
        <v>387</v>
      </c>
      <c r="J63" s="8" t="s">
        <v>37</v>
      </c>
      <c r="K63" s="8" t="s">
        <v>46</v>
      </c>
      <c r="L63" s="8" t="s">
        <v>19</v>
      </c>
      <c r="M63" s="8" t="s">
        <v>388</v>
      </c>
    </row>
    <row r="64" spans="1:13" x14ac:dyDescent="0.25">
      <c r="A64" s="8" t="s">
        <v>389</v>
      </c>
      <c r="B64" s="8" t="s">
        <v>27</v>
      </c>
      <c r="C64" s="8" t="s">
        <v>361</v>
      </c>
      <c r="D64" s="8" t="s">
        <v>390</v>
      </c>
      <c r="E64" s="8" t="s">
        <v>86</v>
      </c>
      <c r="F64" s="8" t="s">
        <v>363</v>
      </c>
      <c r="G64" s="8" t="s">
        <v>75</v>
      </c>
      <c r="H64" s="8" t="s">
        <v>391</v>
      </c>
      <c r="I64" s="8" t="s">
        <v>77</v>
      </c>
      <c r="J64" s="8" t="s">
        <v>37</v>
      </c>
      <c r="K64" s="8" t="s">
        <v>45</v>
      </c>
      <c r="L64" s="8" t="s">
        <v>18</v>
      </c>
      <c r="M64" s="8" t="s">
        <v>78</v>
      </c>
    </row>
    <row r="65" spans="1:13" x14ac:dyDescent="0.25">
      <c r="A65" s="8" t="s">
        <v>392</v>
      </c>
      <c r="B65" s="8" t="s">
        <v>27</v>
      </c>
      <c r="C65" s="8" t="s">
        <v>361</v>
      </c>
      <c r="D65" s="8" t="s">
        <v>393</v>
      </c>
      <c r="E65" s="8" t="s">
        <v>138</v>
      </c>
      <c r="F65" s="8" t="s">
        <v>394</v>
      </c>
      <c r="G65" s="8" t="s">
        <v>75</v>
      </c>
      <c r="H65" s="8" t="s">
        <v>395</v>
      </c>
      <c r="I65" s="8" t="s">
        <v>396</v>
      </c>
      <c r="J65" s="8" t="s">
        <v>39</v>
      </c>
      <c r="K65" s="8" t="s">
        <v>45</v>
      </c>
      <c r="L65" s="8" t="s">
        <v>18</v>
      </c>
      <c r="M65" s="8" t="s">
        <v>78</v>
      </c>
    </row>
    <row r="66" spans="1:13" x14ac:dyDescent="0.25">
      <c r="A66" s="8" t="s">
        <v>397</v>
      </c>
      <c r="B66" s="8" t="s">
        <v>27</v>
      </c>
      <c r="C66" s="8" t="s">
        <v>398</v>
      </c>
      <c r="D66" s="8" t="s">
        <v>399</v>
      </c>
      <c r="E66" s="8" t="s">
        <v>138</v>
      </c>
      <c r="F66" s="8" t="s">
        <v>400</v>
      </c>
      <c r="G66" s="8" t="s">
        <v>75</v>
      </c>
      <c r="H66" s="8" t="s">
        <v>401</v>
      </c>
      <c r="I66" s="8" t="s">
        <v>402</v>
      </c>
      <c r="J66" s="8" t="s">
        <v>39</v>
      </c>
      <c r="K66" s="8" t="s">
        <v>45</v>
      </c>
      <c r="L66" s="8" t="s">
        <v>18</v>
      </c>
      <c r="M66" s="8" t="s">
        <v>78</v>
      </c>
    </row>
    <row r="67" spans="1:13" x14ac:dyDescent="0.25">
      <c r="A67" s="8" t="s">
        <v>403</v>
      </c>
      <c r="B67" s="8" t="s">
        <v>27</v>
      </c>
      <c r="C67" s="8" t="s">
        <v>361</v>
      </c>
      <c r="D67" s="8" t="s">
        <v>404</v>
      </c>
      <c r="E67" s="8" t="s">
        <v>138</v>
      </c>
      <c r="F67" s="8" t="s">
        <v>405</v>
      </c>
      <c r="G67" s="8" t="s">
        <v>75</v>
      </c>
      <c r="H67" s="8" t="s">
        <v>406</v>
      </c>
      <c r="I67" s="8" t="s">
        <v>407</v>
      </c>
      <c r="J67" s="8" t="s">
        <v>37</v>
      </c>
      <c r="K67" s="8" t="s">
        <v>46</v>
      </c>
      <c r="L67" s="8" t="s">
        <v>18</v>
      </c>
      <c r="M67" s="8" t="s">
        <v>408</v>
      </c>
    </row>
    <row r="68" spans="1:13" x14ac:dyDescent="0.25">
      <c r="A68" s="8" t="s">
        <v>409</v>
      </c>
      <c r="B68" s="8" t="s">
        <v>27</v>
      </c>
      <c r="C68" s="8" t="s">
        <v>377</v>
      </c>
      <c r="D68" s="8" t="s">
        <v>410</v>
      </c>
      <c r="E68" s="8" t="s">
        <v>86</v>
      </c>
      <c r="F68" s="8" t="s">
        <v>411</v>
      </c>
      <c r="G68" s="8" t="s">
        <v>75</v>
      </c>
      <c r="H68" s="8" t="s">
        <v>412</v>
      </c>
      <c r="I68" s="8" t="s">
        <v>413</v>
      </c>
      <c r="J68" s="8" t="s">
        <v>37</v>
      </c>
      <c r="K68" s="8" t="s">
        <v>46</v>
      </c>
      <c r="L68" s="8" t="s">
        <v>19</v>
      </c>
      <c r="M68" s="8" t="s">
        <v>414</v>
      </c>
    </row>
    <row r="69" spans="1:13" x14ac:dyDescent="0.25">
      <c r="A69" s="8" t="s">
        <v>415</v>
      </c>
      <c r="B69" s="8" t="s">
        <v>28</v>
      </c>
      <c r="C69" s="8" t="s">
        <v>361</v>
      </c>
      <c r="D69" s="8" t="s">
        <v>416</v>
      </c>
      <c r="E69" s="8" t="s">
        <v>86</v>
      </c>
      <c r="F69" s="8" t="s">
        <v>363</v>
      </c>
      <c r="G69" s="8" t="s">
        <v>75</v>
      </c>
      <c r="H69" s="8" t="s">
        <v>417</v>
      </c>
      <c r="I69" s="8" t="s">
        <v>77</v>
      </c>
      <c r="J69" s="8" t="s">
        <v>37</v>
      </c>
      <c r="K69" s="8" t="s">
        <v>45</v>
      </c>
      <c r="L69" s="8" t="s">
        <v>18</v>
      </c>
      <c r="M69" s="8" t="s">
        <v>78</v>
      </c>
    </row>
    <row r="70" spans="1:13" x14ac:dyDescent="0.25">
      <c r="A70" s="8" t="s">
        <v>418</v>
      </c>
      <c r="B70" s="8" t="s">
        <v>28</v>
      </c>
      <c r="C70" s="8" t="s">
        <v>419</v>
      </c>
      <c r="D70" s="8" t="s">
        <v>420</v>
      </c>
      <c r="E70" s="8" t="s">
        <v>86</v>
      </c>
      <c r="F70" s="8" t="s">
        <v>421</v>
      </c>
      <c r="G70" s="8" t="s">
        <v>75</v>
      </c>
      <c r="H70" s="8" t="s">
        <v>422</v>
      </c>
      <c r="I70" s="8" t="s">
        <v>423</v>
      </c>
      <c r="J70" s="8" t="s">
        <v>39</v>
      </c>
      <c r="K70" s="8" t="s">
        <v>45</v>
      </c>
      <c r="L70" s="8" t="s">
        <v>18</v>
      </c>
      <c r="M70" s="8" t="s">
        <v>78</v>
      </c>
    </row>
    <row r="71" spans="1:13" x14ac:dyDescent="0.25">
      <c r="A71" s="8" t="s">
        <v>424</v>
      </c>
      <c r="B71" s="8" t="s">
        <v>28</v>
      </c>
      <c r="C71" s="8" t="s">
        <v>425</v>
      </c>
      <c r="D71" s="8" t="s">
        <v>426</v>
      </c>
      <c r="E71" s="8" t="s">
        <v>86</v>
      </c>
      <c r="F71" s="8" t="s">
        <v>427</v>
      </c>
      <c r="G71" s="8" t="s">
        <v>75</v>
      </c>
      <c r="H71" s="8" t="s">
        <v>428</v>
      </c>
      <c r="I71" s="8" t="s">
        <v>89</v>
      </c>
      <c r="J71" s="8" t="s">
        <v>43</v>
      </c>
      <c r="K71" s="8" t="s">
        <v>17</v>
      </c>
      <c r="L71" s="8" t="s">
        <v>18</v>
      </c>
      <c r="M71" s="8" t="s">
        <v>78</v>
      </c>
    </row>
    <row r="72" spans="1:13" x14ac:dyDescent="0.25">
      <c r="A72" s="8" t="s">
        <v>429</v>
      </c>
      <c r="B72" s="8" t="s">
        <v>28</v>
      </c>
      <c r="C72" s="8" t="s">
        <v>425</v>
      </c>
      <c r="D72" s="8" t="s">
        <v>430</v>
      </c>
      <c r="E72" s="8" t="s">
        <v>86</v>
      </c>
      <c r="F72" s="8" t="s">
        <v>431</v>
      </c>
      <c r="G72" s="8" t="s">
        <v>75</v>
      </c>
      <c r="H72" s="8" t="s">
        <v>432</v>
      </c>
      <c r="I72" s="8" t="s">
        <v>433</v>
      </c>
      <c r="J72" s="8" t="s">
        <v>39</v>
      </c>
      <c r="K72" s="8" t="s">
        <v>17</v>
      </c>
      <c r="L72" s="8" t="s">
        <v>18</v>
      </c>
      <c r="M72" s="8" t="s">
        <v>78</v>
      </c>
    </row>
    <row r="73" spans="1:13" x14ac:dyDescent="0.25">
      <c r="A73" s="8" t="s">
        <v>434</v>
      </c>
      <c r="B73" s="8" t="s">
        <v>28</v>
      </c>
      <c r="C73" s="8" t="s">
        <v>435</v>
      </c>
      <c r="D73" s="8" t="s">
        <v>436</v>
      </c>
      <c r="E73" s="8" t="s">
        <v>86</v>
      </c>
      <c r="F73" s="8" t="s">
        <v>437</v>
      </c>
      <c r="G73" s="8" t="s">
        <v>438</v>
      </c>
      <c r="H73" s="8" t="s">
        <v>439</v>
      </c>
      <c r="I73" s="8" t="s">
        <v>89</v>
      </c>
      <c r="J73" s="8" t="s">
        <v>39</v>
      </c>
      <c r="K73" s="8" t="s">
        <v>17</v>
      </c>
      <c r="L73" s="8" t="s">
        <v>19</v>
      </c>
      <c r="M73" s="8" t="s">
        <v>440</v>
      </c>
    </row>
    <row r="74" spans="1:13" x14ac:dyDescent="0.25">
      <c r="A74" s="8" t="s">
        <v>441</v>
      </c>
      <c r="B74" s="8" t="s">
        <v>28</v>
      </c>
      <c r="C74" s="8" t="s">
        <v>442</v>
      </c>
      <c r="D74" s="8" t="s">
        <v>443</v>
      </c>
      <c r="E74" s="8" t="s">
        <v>86</v>
      </c>
      <c r="F74" s="8" t="s">
        <v>444</v>
      </c>
      <c r="G74" s="8" t="s">
        <v>75</v>
      </c>
      <c r="H74" s="8" t="s">
        <v>445</v>
      </c>
      <c r="I74" s="8" t="s">
        <v>446</v>
      </c>
      <c r="J74" s="8" t="s">
        <v>37</v>
      </c>
      <c r="K74" s="8" t="s">
        <v>46</v>
      </c>
      <c r="L74" s="8" t="s">
        <v>19</v>
      </c>
      <c r="M74" s="8" t="s">
        <v>447</v>
      </c>
    </row>
    <row r="75" spans="1:13" x14ac:dyDescent="0.25">
      <c r="A75" s="8" t="s">
        <v>448</v>
      </c>
      <c r="B75" s="8" t="s">
        <v>28</v>
      </c>
      <c r="C75" s="8" t="s">
        <v>449</v>
      </c>
      <c r="D75" s="8" t="s">
        <v>450</v>
      </c>
      <c r="E75" s="8" t="s">
        <v>86</v>
      </c>
      <c r="F75" s="8" t="s">
        <v>451</v>
      </c>
      <c r="G75" s="8" t="s">
        <v>75</v>
      </c>
      <c r="H75" s="8" t="s">
        <v>452</v>
      </c>
      <c r="I75" s="8" t="s">
        <v>89</v>
      </c>
      <c r="J75" s="8" t="s">
        <v>39</v>
      </c>
      <c r="K75" s="8" t="s">
        <v>45</v>
      </c>
      <c r="L75" s="8" t="s">
        <v>18</v>
      </c>
      <c r="M75" s="8" t="s">
        <v>78</v>
      </c>
    </row>
    <row r="76" spans="1:13" x14ac:dyDescent="0.25">
      <c r="A76" s="8" t="s">
        <v>453</v>
      </c>
      <c r="B76" s="8" t="s">
        <v>28</v>
      </c>
      <c r="C76" s="8" t="s">
        <v>454</v>
      </c>
      <c r="D76" s="8" t="s">
        <v>455</v>
      </c>
      <c r="E76" s="8" t="s">
        <v>86</v>
      </c>
      <c r="F76" s="8" t="s">
        <v>456</v>
      </c>
      <c r="G76" s="8" t="s">
        <v>75</v>
      </c>
      <c r="H76" s="8" t="s">
        <v>457</v>
      </c>
      <c r="I76" s="8" t="s">
        <v>89</v>
      </c>
      <c r="J76" s="8" t="s">
        <v>41</v>
      </c>
      <c r="K76" s="8" t="s">
        <v>45</v>
      </c>
      <c r="L76" s="8" t="s">
        <v>18</v>
      </c>
      <c r="M76" s="8" t="s">
        <v>78</v>
      </c>
    </row>
    <row r="77" spans="1:13" x14ac:dyDescent="0.25">
      <c r="A77" s="8" t="s">
        <v>458</v>
      </c>
      <c r="B77" s="8" t="s">
        <v>29</v>
      </c>
      <c r="C77" s="8" t="s">
        <v>26</v>
      </c>
      <c r="D77" s="8" t="s">
        <v>459</v>
      </c>
      <c r="E77" s="8" t="s">
        <v>138</v>
      </c>
      <c r="F77" s="8" t="s">
        <v>460</v>
      </c>
      <c r="G77" s="8" t="s">
        <v>75</v>
      </c>
      <c r="H77" s="8" t="s">
        <v>461</v>
      </c>
      <c r="I77" s="8" t="s">
        <v>89</v>
      </c>
      <c r="J77" s="8" t="s">
        <v>39</v>
      </c>
      <c r="K77" s="8" t="s">
        <v>17</v>
      </c>
      <c r="L77" s="8" t="s">
        <v>18</v>
      </c>
      <c r="M77" s="8" t="s">
        <v>78</v>
      </c>
    </row>
    <row r="78" spans="1:13" x14ac:dyDescent="0.25">
      <c r="A78" s="8" t="s">
        <v>462</v>
      </c>
      <c r="B78" s="8" t="s">
        <v>29</v>
      </c>
      <c r="C78" s="8" t="s">
        <v>27</v>
      </c>
      <c r="D78" s="8" t="s">
        <v>463</v>
      </c>
      <c r="E78" s="8" t="s">
        <v>138</v>
      </c>
      <c r="F78" s="8" t="s">
        <v>464</v>
      </c>
      <c r="G78" s="8" t="s">
        <v>75</v>
      </c>
      <c r="H78" s="8" t="s">
        <v>465</v>
      </c>
      <c r="I78" s="8" t="s">
        <v>89</v>
      </c>
      <c r="J78" s="8" t="s">
        <v>39</v>
      </c>
      <c r="K78" s="8" t="s">
        <v>17</v>
      </c>
      <c r="L78" s="8" t="s">
        <v>18</v>
      </c>
      <c r="M78" s="8" t="s">
        <v>78</v>
      </c>
    </row>
    <row r="79" spans="1:13" x14ac:dyDescent="0.25">
      <c r="A79" s="8" t="s">
        <v>466</v>
      </c>
      <c r="B79" s="8" t="s">
        <v>29</v>
      </c>
      <c r="C79" s="8" t="s">
        <v>28</v>
      </c>
      <c r="D79" s="8" t="s">
        <v>467</v>
      </c>
      <c r="E79" s="8" t="s">
        <v>138</v>
      </c>
      <c r="F79" s="8" t="s">
        <v>468</v>
      </c>
      <c r="G79" s="8" t="s">
        <v>75</v>
      </c>
      <c r="H79" s="8" t="s">
        <v>469</v>
      </c>
      <c r="I79" s="8" t="s">
        <v>89</v>
      </c>
      <c r="J79" s="8" t="s">
        <v>39</v>
      </c>
      <c r="K79" s="8" t="s">
        <v>17</v>
      </c>
      <c r="L79" s="8" t="s">
        <v>18</v>
      </c>
      <c r="M79" s="8" t="s">
        <v>78</v>
      </c>
    </row>
    <row r="80" spans="1:13" x14ac:dyDescent="0.25">
      <c r="A80" s="8" t="s">
        <v>470</v>
      </c>
      <c r="B80" s="8" t="s">
        <v>29</v>
      </c>
      <c r="C80" s="8" t="s">
        <v>471</v>
      </c>
      <c r="D80" s="8" t="s">
        <v>472</v>
      </c>
      <c r="E80" s="8" t="s">
        <v>138</v>
      </c>
      <c r="F80" s="8" t="s">
        <v>473</v>
      </c>
      <c r="G80" s="8" t="s">
        <v>474</v>
      </c>
      <c r="H80" s="8" t="s">
        <v>475</v>
      </c>
      <c r="I80" s="8" t="s">
        <v>89</v>
      </c>
      <c r="J80" s="8" t="s">
        <v>39</v>
      </c>
      <c r="K80" s="8" t="s">
        <v>17</v>
      </c>
      <c r="L80" s="8" t="s">
        <v>18</v>
      </c>
      <c r="M80" s="8" t="s">
        <v>78</v>
      </c>
    </row>
    <row r="81" spans="1:13" x14ac:dyDescent="0.25">
      <c r="A81" s="8" t="s">
        <v>476</v>
      </c>
      <c r="B81" s="8" t="s">
        <v>29</v>
      </c>
      <c r="C81" s="8" t="s">
        <v>471</v>
      </c>
      <c r="D81" s="8" t="s">
        <v>477</v>
      </c>
      <c r="E81" s="8" t="s">
        <v>86</v>
      </c>
      <c r="F81" s="8" t="s">
        <v>478</v>
      </c>
      <c r="G81" s="8" t="s">
        <v>75</v>
      </c>
      <c r="H81" s="8" t="s">
        <v>479</v>
      </c>
      <c r="I81" s="8" t="s">
        <v>89</v>
      </c>
      <c r="J81" s="8" t="s">
        <v>41</v>
      </c>
      <c r="K81" s="8" t="s">
        <v>46</v>
      </c>
      <c r="L81" s="8" t="s">
        <v>18</v>
      </c>
      <c r="M81" s="8" t="s">
        <v>78</v>
      </c>
    </row>
    <row r="82" spans="1:13" x14ac:dyDescent="0.25">
      <c r="A82" s="8" t="s">
        <v>480</v>
      </c>
      <c r="B82" s="8" t="s">
        <v>29</v>
      </c>
      <c r="C82" s="8" t="s">
        <v>471</v>
      </c>
      <c r="D82" s="8" t="s">
        <v>481</v>
      </c>
      <c r="E82" s="8" t="s">
        <v>86</v>
      </c>
      <c r="F82" s="8" t="s">
        <v>482</v>
      </c>
      <c r="G82" s="8" t="s">
        <v>75</v>
      </c>
      <c r="H82" s="8" t="s">
        <v>483</v>
      </c>
      <c r="I82" s="8" t="s">
        <v>89</v>
      </c>
      <c r="J82" s="8" t="s">
        <v>37</v>
      </c>
      <c r="K82" s="8" t="s">
        <v>46</v>
      </c>
      <c r="L82" s="8" t="s">
        <v>18</v>
      </c>
      <c r="M82" s="8" t="s">
        <v>78</v>
      </c>
    </row>
    <row r="83" spans="1:13" x14ac:dyDescent="0.25">
      <c r="A83" s="8" t="s">
        <v>484</v>
      </c>
      <c r="B83" s="8" t="s">
        <v>30</v>
      </c>
      <c r="C83" s="8" t="s">
        <v>485</v>
      </c>
      <c r="D83" s="8" t="s">
        <v>486</v>
      </c>
      <c r="E83" s="8" t="s">
        <v>138</v>
      </c>
      <c r="F83" s="8" t="s">
        <v>487</v>
      </c>
      <c r="G83" s="8" t="s">
        <v>75</v>
      </c>
      <c r="H83" s="8" t="s">
        <v>488</v>
      </c>
      <c r="I83" s="8" t="s">
        <v>489</v>
      </c>
      <c r="J83" s="8" t="s">
        <v>43</v>
      </c>
      <c r="K83" s="8" t="s">
        <v>17</v>
      </c>
      <c r="L83" s="8" t="s">
        <v>18</v>
      </c>
      <c r="M83" s="8" t="s">
        <v>78</v>
      </c>
    </row>
    <row r="84" spans="1:13" x14ac:dyDescent="0.25">
      <c r="A84" s="8" t="s">
        <v>490</v>
      </c>
      <c r="B84" s="8" t="s">
        <v>30</v>
      </c>
      <c r="C84" s="8" t="s">
        <v>485</v>
      </c>
      <c r="D84" s="8" t="s">
        <v>491</v>
      </c>
      <c r="E84" s="8" t="s">
        <v>138</v>
      </c>
      <c r="F84" s="8" t="s">
        <v>492</v>
      </c>
      <c r="G84" s="8" t="s">
        <v>75</v>
      </c>
      <c r="H84" s="8" t="s">
        <v>488</v>
      </c>
      <c r="I84" s="8" t="s">
        <v>493</v>
      </c>
      <c r="J84" s="8" t="s">
        <v>43</v>
      </c>
      <c r="K84" s="8" t="s">
        <v>17</v>
      </c>
      <c r="L84" s="8" t="s">
        <v>18</v>
      </c>
      <c r="M84" s="8" t="s">
        <v>78</v>
      </c>
    </row>
    <row r="85" spans="1:13" x14ac:dyDescent="0.25">
      <c r="A85" s="8" t="s">
        <v>494</v>
      </c>
      <c r="B85" s="8" t="s">
        <v>30</v>
      </c>
      <c r="C85" s="8" t="s">
        <v>485</v>
      </c>
      <c r="D85" s="8" t="s">
        <v>495</v>
      </c>
      <c r="E85" s="8" t="s">
        <v>138</v>
      </c>
      <c r="F85" s="8" t="s">
        <v>496</v>
      </c>
      <c r="G85" s="8" t="s">
        <v>75</v>
      </c>
      <c r="H85" s="8" t="s">
        <v>488</v>
      </c>
      <c r="I85" s="8" t="s">
        <v>89</v>
      </c>
      <c r="J85" s="8" t="s">
        <v>43</v>
      </c>
      <c r="K85" s="8" t="s">
        <v>17</v>
      </c>
      <c r="L85" s="8" t="s">
        <v>18</v>
      </c>
      <c r="M85" s="8" t="s">
        <v>78</v>
      </c>
    </row>
    <row r="86" spans="1:13" x14ac:dyDescent="0.25">
      <c r="A86" s="8" t="s">
        <v>497</v>
      </c>
      <c r="B86" s="8" t="s">
        <v>30</v>
      </c>
      <c r="C86" s="8" t="s">
        <v>485</v>
      </c>
      <c r="D86" s="8" t="s">
        <v>498</v>
      </c>
      <c r="E86" s="8" t="s">
        <v>138</v>
      </c>
      <c r="F86" s="8" t="s">
        <v>499</v>
      </c>
      <c r="G86" s="8" t="s">
        <v>75</v>
      </c>
      <c r="H86" s="8" t="s">
        <v>500</v>
      </c>
      <c r="I86" s="8" t="s">
        <v>89</v>
      </c>
      <c r="J86" s="8" t="s">
        <v>43</v>
      </c>
      <c r="K86" s="8" t="s">
        <v>17</v>
      </c>
      <c r="L86" s="8" t="s">
        <v>18</v>
      </c>
      <c r="M86" s="8" t="s">
        <v>78</v>
      </c>
    </row>
    <row r="87" spans="1:13" x14ac:dyDescent="0.25">
      <c r="A87" s="8" t="s">
        <v>501</v>
      </c>
      <c r="B87" s="8" t="s">
        <v>30</v>
      </c>
      <c r="C87" s="8" t="s">
        <v>485</v>
      </c>
      <c r="D87" s="8" t="s">
        <v>502</v>
      </c>
      <c r="E87" s="8" t="s">
        <v>138</v>
      </c>
      <c r="F87" s="8" t="s">
        <v>503</v>
      </c>
      <c r="G87" s="8" t="s">
        <v>75</v>
      </c>
      <c r="H87" s="8" t="s">
        <v>504</v>
      </c>
      <c r="I87" s="8" t="s">
        <v>89</v>
      </c>
      <c r="J87" s="8" t="s">
        <v>43</v>
      </c>
      <c r="K87" s="8" t="s">
        <v>17</v>
      </c>
      <c r="L87" s="8" t="s">
        <v>18</v>
      </c>
      <c r="M87" s="8" t="s">
        <v>78</v>
      </c>
    </row>
    <row r="88" spans="1:13" x14ac:dyDescent="0.25">
      <c r="A88" s="8" t="s">
        <v>505</v>
      </c>
      <c r="B88" s="8" t="s">
        <v>30</v>
      </c>
      <c r="C88" s="8" t="s">
        <v>506</v>
      </c>
      <c r="D88" s="8" t="s">
        <v>507</v>
      </c>
      <c r="E88" s="8" t="s">
        <v>138</v>
      </c>
      <c r="F88" s="8" t="s">
        <v>508</v>
      </c>
      <c r="G88" s="8" t="s">
        <v>75</v>
      </c>
      <c r="H88" s="8" t="s">
        <v>509</v>
      </c>
      <c r="I88" s="8" t="s">
        <v>510</v>
      </c>
      <c r="J88" s="8" t="s">
        <v>43</v>
      </c>
      <c r="K88" s="8" t="s">
        <v>17</v>
      </c>
      <c r="L88" s="8" t="s">
        <v>18</v>
      </c>
      <c r="M88" s="8" t="s">
        <v>78</v>
      </c>
    </row>
    <row r="89" spans="1:13" x14ac:dyDescent="0.25">
      <c r="A89" s="8" t="s">
        <v>511</v>
      </c>
      <c r="B89" s="8" t="s">
        <v>30</v>
      </c>
      <c r="C89" s="8" t="s">
        <v>506</v>
      </c>
      <c r="D89" s="8" t="s">
        <v>512</v>
      </c>
      <c r="E89" s="8" t="s">
        <v>138</v>
      </c>
      <c r="F89" s="8" t="s">
        <v>513</v>
      </c>
      <c r="G89" s="8" t="s">
        <v>75</v>
      </c>
      <c r="H89" s="8" t="s">
        <v>509</v>
      </c>
      <c r="I89" s="8" t="s">
        <v>514</v>
      </c>
      <c r="J89" s="8" t="s">
        <v>43</v>
      </c>
      <c r="K89" s="8" t="s">
        <v>17</v>
      </c>
      <c r="L89" s="8" t="s">
        <v>18</v>
      </c>
      <c r="M89" s="8" t="s">
        <v>78</v>
      </c>
    </row>
    <row r="90" spans="1:13" x14ac:dyDescent="0.25">
      <c r="A90" s="8" t="s">
        <v>515</v>
      </c>
      <c r="B90" s="8" t="s">
        <v>30</v>
      </c>
      <c r="C90" s="8" t="s">
        <v>506</v>
      </c>
      <c r="D90" s="8" t="s">
        <v>516</v>
      </c>
      <c r="E90" s="8" t="s">
        <v>138</v>
      </c>
      <c r="F90" s="8" t="s">
        <v>517</v>
      </c>
      <c r="G90" s="8" t="s">
        <v>75</v>
      </c>
      <c r="H90" s="8" t="s">
        <v>518</v>
      </c>
      <c r="I90" s="8" t="s">
        <v>89</v>
      </c>
      <c r="J90" s="8" t="s">
        <v>43</v>
      </c>
      <c r="K90" s="8" t="s">
        <v>17</v>
      </c>
      <c r="L90" s="8" t="s">
        <v>18</v>
      </c>
      <c r="M90" s="8" t="s">
        <v>78</v>
      </c>
    </row>
    <row r="91" spans="1:13" x14ac:dyDescent="0.25">
      <c r="A91" s="8" t="s">
        <v>519</v>
      </c>
      <c r="B91" s="8" t="s">
        <v>30</v>
      </c>
      <c r="C91" s="8" t="s">
        <v>520</v>
      </c>
      <c r="D91" s="8" t="s">
        <v>521</v>
      </c>
      <c r="E91" s="8" t="s">
        <v>138</v>
      </c>
      <c r="F91" s="8" t="s">
        <v>522</v>
      </c>
      <c r="G91" s="8" t="s">
        <v>75</v>
      </c>
      <c r="H91" s="8" t="s">
        <v>509</v>
      </c>
      <c r="I91" s="8" t="s">
        <v>523</v>
      </c>
      <c r="J91" s="8" t="s">
        <v>43</v>
      </c>
      <c r="K91" s="8" t="s">
        <v>17</v>
      </c>
      <c r="L91" s="8" t="s">
        <v>18</v>
      </c>
      <c r="M91" s="8" t="s">
        <v>78</v>
      </c>
    </row>
    <row r="92" spans="1:13" x14ac:dyDescent="0.25">
      <c r="A92" s="8" t="s">
        <v>524</v>
      </c>
      <c r="B92" s="8" t="s">
        <v>30</v>
      </c>
      <c r="C92" s="8" t="s">
        <v>520</v>
      </c>
      <c r="D92" s="8" t="s">
        <v>525</v>
      </c>
      <c r="E92" s="8" t="s">
        <v>138</v>
      </c>
      <c r="F92" s="8" t="s">
        <v>526</v>
      </c>
      <c r="G92" s="8" t="s">
        <v>75</v>
      </c>
      <c r="H92" s="8" t="s">
        <v>509</v>
      </c>
      <c r="I92" s="8" t="s">
        <v>527</v>
      </c>
      <c r="J92" s="8" t="s">
        <v>43</v>
      </c>
      <c r="K92" s="8" t="s">
        <v>17</v>
      </c>
      <c r="L92" s="8" t="s">
        <v>18</v>
      </c>
      <c r="M92" s="8" t="s">
        <v>78</v>
      </c>
    </row>
    <row r="93" spans="1:13" x14ac:dyDescent="0.25">
      <c r="A93" s="8" t="s">
        <v>528</v>
      </c>
      <c r="B93" s="8" t="s">
        <v>30</v>
      </c>
      <c r="C93" s="8" t="s">
        <v>520</v>
      </c>
      <c r="D93" s="8" t="s">
        <v>529</v>
      </c>
      <c r="E93" s="8" t="s">
        <v>138</v>
      </c>
      <c r="F93" s="8" t="s">
        <v>530</v>
      </c>
      <c r="G93" s="8" t="s">
        <v>75</v>
      </c>
      <c r="H93" s="8" t="s">
        <v>531</v>
      </c>
      <c r="I93" s="8" t="s">
        <v>89</v>
      </c>
      <c r="J93" s="8" t="s">
        <v>43</v>
      </c>
      <c r="K93" s="8" t="s">
        <v>17</v>
      </c>
      <c r="L93" s="8" t="s">
        <v>18</v>
      </c>
      <c r="M93" s="8" t="s">
        <v>78</v>
      </c>
    </row>
    <row r="94" spans="1:13" x14ac:dyDescent="0.25">
      <c r="A94" s="8" t="s">
        <v>532</v>
      </c>
      <c r="B94" s="8" t="s">
        <v>30</v>
      </c>
      <c r="C94" s="8" t="s">
        <v>520</v>
      </c>
      <c r="D94" s="8" t="s">
        <v>533</v>
      </c>
      <c r="E94" s="8" t="s">
        <v>138</v>
      </c>
      <c r="F94" s="8" t="s">
        <v>534</v>
      </c>
      <c r="G94" s="8" t="s">
        <v>75</v>
      </c>
      <c r="H94" s="8" t="s">
        <v>535</v>
      </c>
      <c r="I94" s="8" t="s">
        <v>536</v>
      </c>
      <c r="J94" s="8" t="s">
        <v>43</v>
      </c>
      <c r="K94" s="8" t="s">
        <v>17</v>
      </c>
      <c r="L94" s="8" t="s">
        <v>18</v>
      </c>
      <c r="M94" s="8" t="s">
        <v>78</v>
      </c>
    </row>
    <row r="95" spans="1:13" x14ac:dyDescent="0.25">
      <c r="A95" s="8" t="s">
        <v>537</v>
      </c>
      <c r="B95" s="8" t="s">
        <v>30</v>
      </c>
      <c r="C95" s="8" t="s">
        <v>383</v>
      </c>
      <c r="D95" s="8" t="s">
        <v>538</v>
      </c>
      <c r="E95" s="8" t="s">
        <v>138</v>
      </c>
      <c r="F95" s="8" t="s">
        <v>539</v>
      </c>
      <c r="G95" s="8" t="s">
        <v>75</v>
      </c>
      <c r="H95" s="8" t="s">
        <v>540</v>
      </c>
      <c r="I95" s="8" t="s">
        <v>541</v>
      </c>
      <c r="J95" s="8" t="s">
        <v>43</v>
      </c>
      <c r="K95" s="8" t="s">
        <v>45</v>
      </c>
      <c r="L95" s="8" t="s">
        <v>18</v>
      </c>
      <c r="M95" s="8" t="s">
        <v>78</v>
      </c>
    </row>
    <row r="96" spans="1:13" x14ac:dyDescent="0.25">
      <c r="A96" s="8" t="s">
        <v>542</v>
      </c>
      <c r="B96" s="8" t="s">
        <v>30</v>
      </c>
      <c r="C96" s="8" t="s">
        <v>377</v>
      </c>
      <c r="D96" s="8" t="s">
        <v>543</v>
      </c>
      <c r="E96" s="8" t="s">
        <v>138</v>
      </c>
      <c r="F96" s="8" t="s">
        <v>544</v>
      </c>
      <c r="G96" s="8" t="s">
        <v>75</v>
      </c>
      <c r="H96" s="8" t="s">
        <v>545</v>
      </c>
      <c r="I96" s="8" t="s">
        <v>546</v>
      </c>
      <c r="J96" s="8" t="s">
        <v>43</v>
      </c>
      <c r="K96" s="8" t="s">
        <v>45</v>
      </c>
      <c r="L96" s="8" t="s">
        <v>18</v>
      </c>
      <c r="M96" s="8" t="s">
        <v>78</v>
      </c>
    </row>
    <row r="97" spans="1:13" x14ac:dyDescent="0.25">
      <c r="A97" s="8" t="s">
        <v>547</v>
      </c>
      <c r="B97" s="8" t="s">
        <v>30</v>
      </c>
      <c r="C97" s="8" t="s">
        <v>548</v>
      </c>
      <c r="D97" s="8" t="s">
        <v>549</v>
      </c>
      <c r="E97" s="8" t="s">
        <v>138</v>
      </c>
      <c r="F97" s="8" t="s">
        <v>550</v>
      </c>
      <c r="G97" s="8" t="s">
        <v>75</v>
      </c>
      <c r="H97" s="8" t="s">
        <v>488</v>
      </c>
      <c r="I97" s="8" t="s">
        <v>551</v>
      </c>
      <c r="J97" s="8" t="s">
        <v>43</v>
      </c>
      <c r="K97" s="8" t="s">
        <v>17</v>
      </c>
      <c r="L97" s="8" t="s">
        <v>18</v>
      </c>
      <c r="M97" s="8" t="s">
        <v>78</v>
      </c>
    </row>
    <row r="98" spans="1:13" x14ac:dyDescent="0.25">
      <c r="A98" s="8" t="s">
        <v>552</v>
      </c>
      <c r="B98" s="8" t="s">
        <v>30</v>
      </c>
      <c r="C98" s="8" t="s">
        <v>553</v>
      </c>
      <c r="D98" s="8" t="s">
        <v>554</v>
      </c>
      <c r="E98" s="8" t="s">
        <v>138</v>
      </c>
      <c r="F98" s="8" t="s">
        <v>555</v>
      </c>
      <c r="G98" s="8" t="s">
        <v>75</v>
      </c>
      <c r="H98" s="8" t="s">
        <v>509</v>
      </c>
      <c r="I98" s="8" t="s">
        <v>556</v>
      </c>
      <c r="J98" s="8" t="s">
        <v>43</v>
      </c>
      <c r="K98" s="8" t="s">
        <v>17</v>
      </c>
      <c r="L98" s="8" t="s">
        <v>18</v>
      </c>
      <c r="M98" s="8" t="s">
        <v>78</v>
      </c>
    </row>
    <row r="99" spans="1:13" x14ac:dyDescent="0.25">
      <c r="A99" s="8" t="s">
        <v>557</v>
      </c>
      <c r="B99" s="8" t="s">
        <v>30</v>
      </c>
      <c r="C99" s="8" t="s">
        <v>349</v>
      </c>
      <c r="D99" s="8" t="s">
        <v>558</v>
      </c>
      <c r="E99" s="8" t="s">
        <v>138</v>
      </c>
      <c r="F99" s="8" t="s">
        <v>559</v>
      </c>
      <c r="G99" s="8" t="s">
        <v>75</v>
      </c>
      <c r="H99" s="8" t="s">
        <v>560</v>
      </c>
      <c r="I99" s="8" t="s">
        <v>561</v>
      </c>
      <c r="J99" s="8" t="s">
        <v>43</v>
      </c>
      <c r="K99" s="8" t="s">
        <v>17</v>
      </c>
      <c r="L99" s="8" t="s">
        <v>18</v>
      </c>
      <c r="M99" s="8" t="s">
        <v>78</v>
      </c>
    </row>
    <row r="100" spans="1:13" x14ac:dyDescent="0.25">
      <c r="A100" s="8" t="s">
        <v>562</v>
      </c>
      <c r="B100" s="8" t="s">
        <v>30</v>
      </c>
      <c r="C100" s="8" t="s">
        <v>349</v>
      </c>
      <c r="D100" s="8" t="s">
        <v>563</v>
      </c>
      <c r="E100" s="8" t="s">
        <v>138</v>
      </c>
      <c r="F100" s="8" t="s">
        <v>564</v>
      </c>
      <c r="G100" s="8" t="s">
        <v>75</v>
      </c>
      <c r="H100" s="8" t="s">
        <v>565</v>
      </c>
      <c r="I100" s="8" t="s">
        <v>566</v>
      </c>
      <c r="J100" s="8" t="s">
        <v>43</v>
      </c>
      <c r="K100" s="8" t="s">
        <v>17</v>
      </c>
      <c r="L100" s="8" t="s">
        <v>18</v>
      </c>
      <c r="M100" s="8" t="s">
        <v>78</v>
      </c>
    </row>
    <row r="101" spans="1:13" x14ac:dyDescent="0.25">
      <c r="A101" s="8" t="s">
        <v>567</v>
      </c>
      <c r="B101" s="8" t="s">
        <v>30</v>
      </c>
      <c r="C101" s="8" t="s">
        <v>568</v>
      </c>
      <c r="D101" s="8" t="s">
        <v>569</v>
      </c>
      <c r="E101" s="8" t="s">
        <v>138</v>
      </c>
      <c r="F101" s="8" t="s">
        <v>570</v>
      </c>
      <c r="G101" s="8" t="s">
        <v>75</v>
      </c>
      <c r="H101" s="8" t="s">
        <v>571</v>
      </c>
      <c r="I101" s="8" t="s">
        <v>572</v>
      </c>
      <c r="J101" s="8" t="s">
        <v>43</v>
      </c>
      <c r="K101" s="8" t="s">
        <v>17</v>
      </c>
      <c r="L101" s="8" t="s">
        <v>18</v>
      </c>
      <c r="M101" s="8" t="s">
        <v>78</v>
      </c>
    </row>
    <row r="102" spans="1:13" x14ac:dyDescent="0.25">
      <c r="A102" s="8" t="s">
        <v>573</v>
      </c>
      <c r="B102" s="8" t="s">
        <v>30</v>
      </c>
      <c r="C102" s="8" t="s">
        <v>355</v>
      </c>
      <c r="D102" s="8" t="s">
        <v>574</v>
      </c>
      <c r="E102" s="8" t="s">
        <v>138</v>
      </c>
      <c r="F102" s="8" t="s">
        <v>575</v>
      </c>
      <c r="G102" s="8" t="s">
        <v>75</v>
      </c>
      <c r="H102" s="8" t="s">
        <v>576</v>
      </c>
      <c r="I102" s="8" t="s">
        <v>89</v>
      </c>
      <c r="J102" s="8" t="s">
        <v>43</v>
      </c>
      <c r="K102" s="8" t="s">
        <v>45</v>
      </c>
      <c r="L102" s="8" t="s">
        <v>49</v>
      </c>
      <c r="M102" s="8" t="s">
        <v>577</v>
      </c>
    </row>
    <row r="103" spans="1:13" x14ac:dyDescent="0.25">
      <c r="A103" s="8" t="s">
        <v>578</v>
      </c>
      <c r="B103" s="8" t="s">
        <v>30</v>
      </c>
      <c r="C103" s="8" t="s">
        <v>579</v>
      </c>
      <c r="D103" s="8" t="s">
        <v>580</v>
      </c>
      <c r="E103" s="8" t="s">
        <v>138</v>
      </c>
      <c r="F103" s="8" t="s">
        <v>581</v>
      </c>
      <c r="G103" s="8" t="s">
        <v>75</v>
      </c>
      <c r="H103" s="8" t="s">
        <v>582</v>
      </c>
      <c r="I103" s="8" t="s">
        <v>89</v>
      </c>
      <c r="J103" s="8" t="s">
        <v>43</v>
      </c>
      <c r="K103" s="8" t="s">
        <v>17</v>
      </c>
      <c r="L103" s="8" t="s">
        <v>18</v>
      </c>
      <c r="M103" s="8" t="s">
        <v>78</v>
      </c>
    </row>
    <row r="104" spans="1:13" x14ac:dyDescent="0.25">
      <c r="A104" s="8" t="s">
        <v>583</v>
      </c>
      <c r="B104" s="8" t="s">
        <v>30</v>
      </c>
      <c r="C104" s="8" t="s">
        <v>579</v>
      </c>
      <c r="D104" s="8" t="s">
        <v>584</v>
      </c>
      <c r="E104" s="8" t="s">
        <v>138</v>
      </c>
      <c r="F104" s="8" t="s">
        <v>585</v>
      </c>
      <c r="G104" s="8" t="s">
        <v>75</v>
      </c>
      <c r="H104" s="8" t="s">
        <v>586</v>
      </c>
      <c r="I104" s="8" t="s">
        <v>89</v>
      </c>
      <c r="J104" s="8" t="s">
        <v>43</v>
      </c>
      <c r="K104" s="8" t="s">
        <v>17</v>
      </c>
      <c r="L104" s="8" t="s">
        <v>18</v>
      </c>
      <c r="M104" s="8" t="s">
        <v>78</v>
      </c>
    </row>
    <row r="105" spans="1:13" x14ac:dyDescent="0.25">
      <c r="A105" s="8" t="s">
        <v>587</v>
      </c>
      <c r="B105" s="8" t="s">
        <v>30</v>
      </c>
      <c r="C105" s="8" t="s">
        <v>579</v>
      </c>
      <c r="D105" s="8" t="s">
        <v>588</v>
      </c>
      <c r="E105" s="8" t="s">
        <v>138</v>
      </c>
      <c r="F105" s="8" t="s">
        <v>589</v>
      </c>
      <c r="G105" s="8" t="s">
        <v>75</v>
      </c>
      <c r="H105" s="8" t="s">
        <v>590</v>
      </c>
      <c r="I105" s="8" t="s">
        <v>89</v>
      </c>
      <c r="J105" s="8" t="s">
        <v>43</v>
      </c>
      <c r="K105" s="8" t="s">
        <v>17</v>
      </c>
      <c r="L105" s="8" t="s">
        <v>18</v>
      </c>
      <c r="M105" s="8" t="s">
        <v>78</v>
      </c>
    </row>
    <row r="106" spans="1:13" x14ac:dyDescent="0.25">
      <c r="A106" s="8" t="s">
        <v>591</v>
      </c>
      <c r="B106" s="8" t="s">
        <v>30</v>
      </c>
      <c r="C106" s="8" t="s">
        <v>592</v>
      </c>
      <c r="D106" s="8" t="s">
        <v>593</v>
      </c>
      <c r="E106" s="8" t="s">
        <v>138</v>
      </c>
      <c r="F106" s="8" t="s">
        <v>594</v>
      </c>
      <c r="G106" s="8" t="s">
        <v>75</v>
      </c>
      <c r="H106" s="8" t="s">
        <v>595</v>
      </c>
      <c r="I106" s="8" t="s">
        <v>89</v>
      </c>
      <c r="J106" s="8" t="s">
        <v>43</v>
      </c>
      <c r="K106" s="8" t="s">
        <v>17</v>
      </c>
      <c r="L106" s="8" t="s">
        <v>18</v>
      </c>
      <c r="M106" s="8" t="s">
        <v>78</v>
      </c>
    </row>
    <row r="107" spans="1:13" x14ac:dyDescent="0.25">
      <c r="A107" s="8" t="s">
        <v>596</v>
      </c>
      <c r="B107" s="8" t="s">
        <v>30</v>
      </c>
      <c r="C107" s="8" t="s">
        <v>592</v>
      </c>
      <c r="D107" s="8" t="s">
        <v>597</v>
      </c>
      <c r="E107" s="8" t="s">
        <v>138</v>
      </c>
      <c r="F107" s="8" t="s">
        <v>598</v>
      </c>
      <c r="G107" s="8" t="s">
        <v>75</v>
      </c>
      <c r="H107" s="8" t="s">
        <v>599</v>
      </c>
      <c r="I107" s="8" t="s">
        <v>89</v>
      </c>
      <c r="J107" s="8" t="s">
        <v>43</v>
      </c>
      <c r="K107" s="8" t="s">
        <v>45</v>
      </c>
      <c r="L107" s="8" t="s">
        <v>19</v>
      </c>
      <c r="M107" s="8" t="s">
        <v>600</v>
      </c>
    </row>
    <row r="108" spans="1:13" x14ac:dyDescent="0.25">
      <c r="A108" s="8" t="s">
        <v>601</v>
      </c>
      <c r="B108" s="8" t="s">
        <v>30</v>
      </c>
      <c r="C108" s="8" t="s">
        <v>592</v>
      </c>
      <c r="D108" s="8" t="s">
        <v>602</v>
      </c>
      <c r="E108" s="8" t="s">
        <v>138</v>
      </c>
      <c r="F108" s="8" t="s">
        <v>603</v>
      </c>
      <c r="G108" s="8" t="s">
        <v>75</v>
      </c>
      <c r="H108" s="8" t="s">
        <v>604</v>
      </c>
      <c r="I108" s="8" t="s">
        <v>89</v>
      </c>
      <c r="J108" s="8" t="s">
        <v>43</v>
      </c>
      <c r="K108" s="8" t="s">
        <v>45</v>
      </c>
      <c r="L108" s="8" t="s">
        <v>19</v>
      </c>
      <c r="M108" s="8" t="s">
        <v>605</v>
      </c>
    </row>
    <row r="109" spans="1:13" x14ac:dyDescent="0.25">
      <c r="A109" s="8" t="s">
        <v>606</v>
      </c>
      <c r="B109" s="8" t="s">
        <v>30</v>
      </c>
      <c r="C109" s="8" t="s">
        <v>21</v>
      </c>
      <c r="D109" s="8" t="s">
        <v>607</v>
      </c>
      <c r="E109" s="8" t="s">
        <v>138</v>
      </c>
      <c r="F109" s="8" t="s">
        <v>608</v>
      </c>
      <c r="G109" s="8" t="s">
        <v>75</v>
      </c>
      <c r="H109" s="8" t="s">
        <v>609</v>
      </c>
      <c r="I109" s="8" t="s">
        <v>89</v>
      </c>
      <c r="J109" s="8" t="s">
        <v>43</v>
      </c>
      <c r="K109" s="8" t="s">
        <v>17</v>
      </c>
      <c r="L109" s="8" t="s">
        <v>18</v>
      </c>
      <c r="M109" s="8" t="s">
        <v>78</v>
      </c>
    </row>
    <row r="110" spans="1:13" x14ac:dyDescent="0.25">
      <c r="A110" s="8" t="s">
        <v>610</v>
      </c>
      <c r="B110" s="8" t="s">
        <v>30</v>
      </c>
      <c r="C110" s="8" t="s">
        <v>29</v>
      </c>
      <c r="D110" s="8" t="s">
        <v>611</v>
      </c>
      <c r="E110" s="8" t="s">
        <v>138</v>
      </c>
      <c r="F110" s="8" t="s">
        <v>612</v>
      </c>
      <c r="G110" s="8" t="s">
        <v>75</v>
      </c>
      <c r="H110" s="8" t="s">
        <v>613</v>
      </c>
      <c r="I110" s="8" t="s">
        <v>89</v>
      </c>
      <c r="J110" s="8" t="s">
        <v>43</v>
      </c>
      <c r="K110" s="8" t="s">
        <v>17</v>
      </c>
      <c r="L110" s="8" t="s">
        <v>18</v>
      </c>
      <c r="M110" s="8" t="s">
        <v>78</v>
      </c>
    </row>
    <row r="111" spans="1:13" x14ac:dyDescent="0.25">
      <c r="A111" s="8" t="s">
        <v>614</v>
      </c>
      <c r="B111" s="8" t="s">
        <v>31</v>
      </c>
      <c r="C111" s="8" t="s">
        <v>615</v>
      </c>
      <c r="D111" s="8" t="s">
        <v>616</v>
      </c>
      <c r="E111" s="8" t="s">
        <v>617</v>
      </c>
      <c r="F111" s="8" t="s">
        <v>618</v>
      </c>
      <c r="G111" s="8" t="s">
        <v>75</v>
      </c>
      <c r="H111" s="8" t="s">
        <v>619</v>
      </c>
      <c r="I111" s="8" t="s">
        <v>89</v>
      </c>
      <c r="J111" s="8" t="s">
        <v>39</v>
      </c>
      <c r="K111" s="8" t="s">
        <v>17</v>
      </c>
      <c r="L111" s="8" t="s">
        <v>49</v>
      </c>
      <c r="M111" s="8" t="s">
        <v>620</v>
      </c>
    </row>
    <row r="112" spans="1:13" x14ac:dyDescent="0.25">
      <c r="A112" s="8" t="s">
        <v>621</v>
      </c>
      <c r="B112" s="8" t="s">
        <v>31</v>
      </c>
      <c r="C112" s="8" t="s">
        <v>615</v>
      </c>
      <c r="D112" s="8" t="s">
        <v>622</v>
      </c>
      <c r="E112" s="8" t="s">
        <v>617</v>
      </c>
      <c r="F112" s="8" t="s">
        <v>623</v>
      </c>
      <c r="G112" s="8" t="s">
        <v>75</v>
      </c>
      <c r="H112" s="8" t="s">
        <v>624</v>
      </c>
      <c r="I112" s="8" t="s">
        <v>89</v>
      </c>
      <c r="J112" s="8" t="s">
        <v>39</v>
      </c>
      <c r="K112" s="8" t="s">
        <v>45</v>
      </c>
      <c r="L112" s="8" t="s">
        <v>49</v>
      </c>
      <c r="M112" s="8" t="s">
        <v>620</v>
      </c>
    </row>
    <row r="113" spans="1:13" x14ac:dyDescent="0.25">
      <c r="A113" s="8" t="s">
        <v>625</v>
      </c>
      <c r="B113" s="8" t="s">
        <v>31</v>
      </c>
      <c r="C113" s="8" t="s">
        <v>615</v>
      </c>
      <c r="D113" s="8" t="s">
        <v>626</v>
      </c>
      <c r="E113" s="8" t="s">
        <v>617</v>
      </c>
      <c r="F113" s="8" t="s">
        <v>627</v>
      </c>
      <c r="G113" s="8" t="s">
        <v>75</v>
      </c>
      <c r="H113" s="8" t="s">
        <v>628</v>
      </c>
      <c r="I113" s="8" t="s">
        <v>89</v>
      </c>
      <c r="J113" s="8" t="s">
        <v>39</v>
      </c>
      <c r="K113" s="8" t="s">
        <v>17</v>
      </c>
      <c r="L113" s="8" t="s">
        <v>49</v>
      </c>
      <c r="M113" s="8" t="s">
        <v>620</v>
      </c>
    </row>
    <row r="114" spans="1:13" x14ac:dyDescent="0.25">
      <c r="A114" s="8" t="s">
        <v>629</v>
      </c>
      <c r="B114" s="8" t="s">
        <v>31</v>
      </c>
      <c r="C114" s="8" t="s">
        <v>615</v>
      </c>
      <c r="D114" s="8" t="s">
        <v>630</v>
      </c>
      <c r="E114" s="8" t="s">
        <v>617</v>
      </c>
      <c r="F114" s="8" t="s">
        <v>631</v>
      </c>
      <c r="G114" s="8" t="s">
        <v>75</v>
      </c>
      <c r="H114" s="8" t="s">
        <v>632</v>
      </c>
      <c r="I114" s="8" t="s">
        <v>89</v>
      </c>
      <c r="J114" s="8" t="s">
        <v>39</v>
      </c>
      <c r="K114" s="8" t="s">
        <v>17</v>
      </c>
      <c r="L114" s="8" t="s">
        <v>49</v>
      </c>
      <c r="M114" s="8" t="s">
        <v>620</v>
      </c>
    </row>
    <row r="115" spans="1:13" x14ac:dyDescent="0.25">
      <c r="A115" s="8" t="s">
        <v>633</v>
      </c>
      <c r="B115" s="8" t="s">
        <v>31</v>
      </c>
      <c r="C115" s="8" t="s">
        <v>615</v>
      </c>
      <c r="D115" s="8" t="s">
        <v>634</v>
      </c>
      <c r="E115" s="8" t="s">
        <v>617</v>
      </c>
      <c r="F115" s="8" t="s">
        <v>635</v>
      </c>
      <c r="G115" s="8" t="s">
        <v>75</v>
      </c>
      <c r="H115" s="8" t="s">
        <v>636</v>
      </c>
      <c r="I115" s="8" t="s">
        <v>89</v>
      </c>
      <c r="J115" s="8" t="s">
        <v>39</v>
      </c>
      <c r="K115" s="8" t="s">
        <v>17</v>
      </c>
      <c r="L115" s="8" t="s">
        <v>49</v>
      </c>
      <c r="M115" s="8" t="s">
        <v>620</v>
      </c>
    </row>
    <row r="116" spans="1:13" x14ac:dyDescent="0.25">
      <c r="A116" s="8" t="s">
        <v>637</v>
      </c>
      <c r="B116" s="8" t="s">
        <v>31</v>
      </c>
      <c r="C116" s="8" t="s">
        <v>615</v>
      </c>
      <c r="D116" s="8" t="s">
        <v>638</v>
      </c>
      <c r="E116" s="8" t="s">
        <v>617</v>
      </c>
      <c r="F116" s="8" t="s">
        <v>639</v>
      </c>
      <c r="G116" s="8" t="s">
        <v>75</v>
      </c>
      <c r="H116" s="8" t="s">
        <v>640</v>
      </c>
      <c r="I116" s="8" t="s">
        <v>89</v>
      </c>
      <c r="J116" s="8" t="s">
        <v>39</v>
      </c>
      <c r="K116" s="8" t="s">
        <v>17</v>
      </c>
      <c r="L116" s="8" t="s">
        <v>49</v>
      </c>
      <c r="M116" s="8" t="s">
        <v>620</v>
      </c>
    </row>
    <row r="117" spans="1:13" x14ac:dyDescent="0.25">
      <c r="A117" s="8" t="s">
        <v>641</v>
      </c>
      <c r="B117" s="8" t="s">
        <v>31</v>
      </c>
      <c r="C117" s="8" t="s">
        <v>615</v>
      </c>
      <c r="D117" s="8" t="s">
        <v>642</v>
      </c>
      <c r="E117" s="8" t="s">
        <v>617</v>
      </c>
      <c r="F117" s="8" t="s">
        <v>643</v>
      </c>
      <c r="G117" s="8" t="s">
        <v>75</v>
      </c>
      <c r="H117" s="8" t="s">
        <v>644</v>
      </c>
      <c r="I117" s="8" t="s">
        <v>89</v>
      </c>
      <c r="J117" s="8" t="s">
        <v>39</v>
      </c>
      <c r="K117" s="8" t="s">
        <v>45</v>
      </c>
      <c r="L117" s="8" t="s">
        <v>49</v>
      </c>
      <c r="M117" s="8" t="s">
        <v>620</v>
      </c>
    </row>
    <row r="118" spans="1:13" x14ac:dyDescent="0.25">
      <c r="A118" s="8" t="s">
        <v>645</v>
      </c>
      <c r="B118" s="8" t="s">
        <v>31</v>
      </c>
      <c r="C118" s="8" t="s">
        <v>615</v>
      </c>
      <c r="D118" s="8" t="s">
        <v>646</v>
      </c>
      <c r="E118" s="8" t="s">
        <v>617</v>
      </c>
      <c r="F118" s="8" t="s">
        <v>647</v>
      </c>
      <c r="G118" s="8" t="s">
        <v>75</v>
      </c>
      <c r="H118" s="8" t="s">
        <v>648</v>
      </c>
      <c r="I118" s="8" t="s">
        <v>89</v>
      </c>
      <c r="J118" s="8" t="s">
        <v>39</v>
      </c>
      <c r="K118" s="8" t="s">
        <v>45</v>
      </c>
      <c r="L118" s="8" t="s">
        <v>49</v>
      </c>
      <c r="M118" s="8" t="s">
        <v>620</v>
      </c>
    </row>
    <row r="119" spans="1:13" x14ac:dyDescent="0.25">
      <c r="A119" s="8" t="s">
        <v>649</v>
      </c>
      <c r="B119" s="8" t="s">
        <v>32</v>
      </c>
      <c r="C119" s="8" t="s">
        <v>650</v>
      </c>
      <c r="D119" s="8" t="s">
        <v>651</v>
      </c>
      <c r="E119" s="8" t="s">
        <v>73</v>
      </c>
      <c r="F119" s="8" t="s">
        <v>652</v>
      </c>
      <c r="G119" s="8" t="s">
        <v>75</v>
      </c>
      <c r="H119" s="8" t="s">
        <v>653</v>
      </c>
      <c r="I119" s="8" t="s">
        <v>89</v>
      </c>
      <c r="J119" s="8" t="s">
        <v>43</v>
      </c>
      <c r="K119" s="8" t="s">
        <v>17</v>
      </c>
      <c r="L119" s="8" t="s">
        <v>19</v>
      </c>
      <c r="M119" s="8" t="s">
        <v>654</v>
      </c>
    </row>
    <row r="120" spans="1:13" x14ac:dyDescent="0.25">
      <c r="A120" s="8" t="s">
        <v>655</v>
      </c>
      <c r="B120" s="8" t="s">
        <v>32</v>
      </c>
      <c r="C120" s="8" t="s">
        <v>650</v>
      </c>
      <c r="D120" s="8" t="s">
        <v>656</v>
      </c>
      <c r="E120" s="8" t="s">
        <v>73</v>
      </c>
      <c r="F120" s="8" t="s">
        <v>657</v>
      </c>
      <c r="G120" s="8" t="s">
        <v>75</v>
      </c>
      <c r="H120" s="8" t="s">
        <v>658</v>
      </c>
      <c r="I120" s="8" t="s">
        <v>89</v>
      </c>
      <c r="J120" s="8" t="s">
        <v>43</v>
      </c>
      <c r="K120" s="8" t="s">
        <v>17</v>
      </c>
      <c r="L120" s="8" t="s">
        <v>19</v>
      </c>
      <c r="M120" s="8" t="s">
        <v>659</v>
      </c>
    </row>
    <row r="121" spans="1:13" x14ac:dyDescent="0.25">
      <c r="A121" s="8" t="s">
        <v>660</v>
      </c>
      <c r="B121" s="8" t="s">
        <v>32</v>
      </c>
      <c r="C121" s="8" t="s">
        <v>650</v>
      </c>
      <c r="D121" s="8" t="s">
        <v>661</v>
      </c>
      <c r="E121" s="8" t="s">
        <v>73</v>
      </c>
      <c r="F121" s="8" t="s">
        <v>662</v>
      </c>
      <c r="G121" s="8" t="s">
        <v>75</v>
      </c>
      <c r="H121" s="8" t="s">
        <v>663</v>
      </c>
      <c r="I121" s="8" t="s">
        <v>89</v>
      </c>
      <c r="J121" s="8" t="s">
        <v>43</v>
      </c>
      <c r="K121" s="8" t="s">
        <v>17</v>
      </c>
      <c r="L121" s="8" t="s">
        <v>19</v>
      </c>
      <c r="M121" s="8" t="s">
        <v>664</v>
      </c>
    </row>
    <row r="122" spans="1:13" x14ac:dyDescent="0.25">
      <c r="A122" s="8" t="s">
        <v>665</v>
      </c>
      <c r="B122" s="8" t="s">
        <v>32</v>
      </c>
      <c r="C122" s="8" t="s">
        <v>650</v>
      </c>
      <c r="D122" s="8" t="s">
        <v>666</v>
      </c>
      <c r="E122" s="8" t="s">
        <v>73</v>
      </c>
      <c r="F122" s="8" t="s">
        <v>667</v>
      </c>
      <c r="G122" s="8" t="s">
        <v>75</v>
      </c>
      <c r="H122" s="8" t="s">
        <v>668</v>
      </c>
      <c r="I122" s="8" t="s">
        <v>89</v>
      </c>
      <c r="J122" s="8" t="s">
        <v>43</v>
      </c>
      <c r="K122" s="8" t="s">
        <v>17</v>
      </c>
      <c r="L122" s="8" t="s">
        <v>19</v>
      </c>
      <c r="M122" s="8" t="s">
        <v>669</v>
      </c>
    </row>
    <row r="123" spans="1:13" x14ac:dyDescent="0.25">
      <c r="A123" s="8" t="s">
        <v>670</v>
      </c>
      <c r="B123" s="8" t="s">
        <v>32</v>
      </c>
      <c r="C123" s="8" t="s">
        <v>650</v>
      </c>
      <c r="D123" s="8" t="s">
        <v>671</v>
      </c>
      <c r="E123" s="8" t="s">
        <v>73</v>
      </c>
      <c r="F123" s="8" t="s">
        <v>672</v>
      </c>
      <c r="G123" s="8" t="s">
        <v>75</v>
      </c>
      <c r="H123" s="8" t="s">
        <v>673</v>
      </c>
      <c r="I123" s="8" t="s">
        <v>89</v>
      </c>
      <c r="J123" s="8" t="s">
        <v>43</v>
      </c>
      <c r="K123" s="8" t="s">
        <v>45</v>
      </c>
      <c r="L123" s="8" t="s">
        <v>18</v>
      </c>
      <c r="M123" s="8" t="s">
        <v>78</v>
      </c>
    </row>
    <row r="124" spans="1:13" x14ac:dyDescent="0.25">
      <c r="A124" s="8" t="s">
        <v>674</v>
      </c>
      <c r="B124" s="8" t="s">
        <v>32</v>
      </c>
      <c r="C124" s="8" t="s">
        <v>650</v>
      </c>
      <c r="D124" s="8" t="s">
        <v>675</v>
      </c>
      <c r="E124" s="8" t="s">
        <v>73</v>
      </c>
      <c r="F124" s="8" t="s">
        <v>672</v>
      </c>
      <c r="G124" s="8" t="s">
        <v>75</v>
      </c>
      <c r="H124" s="8" t="s">
        <v>676</v>
      </c>
      <c r="I124" s="8" t="s">
        <v>89</v>
      </c>
      <c r="J124" s="8" t="s">
        <v>43</v>
      </c>
      <c r="K124" s="8" t="s">
        <v>45</v>
      </c>
      <c r="L124" s="8" t="s">
        <v>18</v>
      </c>
      <c r="M124" s="8" t="s">
        <v>677</v>
      </c>
    </row>
    <row r="125" spans="1:13" x14ac:dyDescent="0.25">
      <c r="A125" s="8" t="s">
        <v>678</v>
      </c>
      <c r="B125" s="8" t="s">
        <v>32</v>
      </c>
      <c r="C125" s="8" t="s">
        <v>650</v>
      </c>
      <c r="D125" s="8" t="s">
        <v>679</v>
      </c>
      <c r="E125" s="8" t="s">
        <v>73</v>
      </c>
      <c r="F125" s="8" t="s">
        <v>680</v>
      </c>
      <c r="G125" s="8" t="s">
        <v>75</v>
      </c>
      <c r="H125" s="8" t="s">
        <v>681</v>
      </c>
      <c r="I125" s="8" t="s">
        <v>89</v>
      </c>
      <c r="J125" s="8" t="s">
        <v>43</v>
      </c>
      <c r="K125" s="8" t="s">
        <v>17</v>
      </c>
      <c r="L125" s="8" t="s">
        <v>18</v>
      </c>
      <c r="M125" s="8" t="s">
        <v>78</v>
      </c>
    </row>
    <row r="126" spans="1:13" x14ac:dyDescent="0.25">
      <c r="A126" s="8" t="s">
        <v>682</v>
      </c>
      <c r="B126" s="8" t="s">
        <v>32</v>
      </c>
      <c r="C126" s="8" t="s">
        <v>650</v>
      </c>
      <c r="D126" s="8" t="s">
        <v>683</v>
      </c>
      <c r="E126" s="8" t="s">
        <v>73</v>
      </c>
      <c r="F126" s="8" t="s">
        <v>684</v>
      </c>
      <c r="G126" s="8" t="s">
        <v>75</v>
      </c>
      <c r="H126" s="8" t="s">
        <v>685</v>
      </c>
      <c r="I126" s="8" t="s">
        <v>89</v>
      </c>
      <c r="J126" s="8" t="s">
        <v>43</v>
      </c>
      <c r="K126" s="8" t="s">
        <v>45</v>
      </c>
      <c r="L126" s="8" t="s">
        <v>19</v>
      </c>
      <c r="M126" s="8" t="s">
        <v>686</v>
      </c>
    </row>
    <row r="127" spans="1:13" x14ac:dyDescent="0.25">
      <c r="A127" s="8" t="s">
        <v>687</v>
      </c>
      <c r="B127" s="8" t="s">
        <v>33</v>
      </c>
      <c r="C127" s="8" t="s">
        <v>688</v>
      </c>
      <c r="D127" s="8" t="s">
        <v>689</v>
      </c>
      <c r="E127" s="8" t="s">
        <v>73</v>
      </c>
      <c r="F127" s="8" t="s">
        <v>690</v>
      </c>
      <c r="G127" s="8" t="s">
        <v>75</v>
      </c>
      <c r="H127" s="8" t="s">
        <v>691</v>
      </c>
      <c r="I127" s="8" t="s">
        <v>89</v>
      </c>
      <c r="J127" s="8" t="s">
        <v>33</v>
      </c>
      <c r="K127" s="8" t="s">
        <v>45</v>
      </c>
      <c r="L127" s="8" t="s">
        <v>19</v>
      </c>
      <c r="M127" s="8" t="s">
        <v>692</v>
      </c>
    </row>
    <row r="128" spans="1:13" x14ac:dyDescent="0.25">
      <c r="A128" s="8" t="s">
        <v>693</v>
      </c>
      <c r="B128" s="8" t="s">
        <v>33</v>
      </c>
      <c r="C128" s="8" t="s">
        <v>694</v>
      </c>
      <c r="D128" s="8" t="s">
        <v>695</v>
      </c>
      <c r="E128" s="8" t="s">
        <v>73</v>
      </c>
      <c r="F128" s="8" t="s">
        <v>696</v>
      </c>
      <c r="G128" s="8" t="s">
        <v>75</v>
      </c>
      <c r="H128" s="8" t="s">
        <v>697</v>
      </c>
      <c r="I128" s="8" t="s">
        <v>89</v>
      </c>
      <c r="J128" s="8" t="s">
        <v>33</v>
      </c>
      <c r="K128" s="8" t="s">
        <v>45</v>
      </c>
      <c r="L128" s="8" t="s">
        <v>18</v>
      </c>
      <c r="M128" s="8" t="s">
        <v>78</v>
      </c>
    </row>
    <row r="129" spans="1:13" x14ac:dyDescent="0.25">
      <c r="A129" s="8" t="s">
        <v>698</v>
      </c>
      <c r="B129" s="8" t="s">
        <v>33</v>
      </c>
      <c r="C129" s="8" t="s">
        <v>699</v>
      </c>
      <c r="D129" s="8" t="s">
        <v>700</v>
      </c>
      <c r="E129" s="8" t="s">
        <v>73</v>
      </c>
      <c r="F129" s="8" t="s">
        <v>701</v>
      </c>
      <c r="G129" s="8" t="s">
        <v>75</v>
      </c>
      <c r="H129" s="8" t="s">
        <v>702</v>
      </c>
      <c r="I129" s="8" t="s">
        <v>89</v>
      </c>
      <c r="J129" s="8" t="s">
        <v>33</v>
      </c>
      <c r="K129" s="8" t="s">
        <v>45</v>
      </c>
      <c r="L129" s="8" t="s">
        <v>18</v>
      </c>
      <c r="M129" s="8" t="s">
        <v>78</v>
      </c>
    </row>
    <row r="130" spans="1:13" x14ac:dyDescent="0.25">
      <c r="A130" s="8" t="s">
        <v>703</v>
      </c>
      <c r="B130" s="8" t="s">
        <v>33</v>
      </c>
      <c r="C130" s="8" t="s">
        <v>704</v>
      </c>
      <c r="D130" s="8" t="s">
        <v>705</v>
      </c>
      <c r="E130" s="8" t="s">
        <v>73</v>
      </c>
      <c r="F130" s="8" t="s">
        <v>706</v>
      </c>
      <c r="G130" s="8" t="s">
        <v>75</v>
      </c>
      <c r="H130" s="8" t="s">
        <v>707</v>
      </c>
      <c r="I130" s="8" t="s">
        <v>89</v>
      </c>
      <c r="J130" s="8" t="s">
        <v>33</v>
      </c>
      <c r="K130" s="8" t="s">
        <v>45</v>
      </c>
      <c r="L130" s="8" t="s">
        <v>49</v>
      </c>
      <c r="M130" s="8" t="s">
        <v>708</v>
      </c>
    </row>
    <row r="131" spans="1:13" x14ac:dyDescent="0.25">
      <c r="A131" s="8" t="s">
        <v>709</v>
      </c>
      <c r="B131" s="8" t="s">
        <v>33</v>
      </c>
      <c r="C131" s="8" t="s">
        <v>710</v>
      </c>
      <c r="D131" s="8" t="s">
        <v>711</v>
      </c>
      <c r="E131" s="8" t="s">
        <v>73</v>
      </c>
      <c r="F131" s="8" t="s">
        <v>712</v>
      </c>
      <c r="G131" s="8" t="s">
        <v>75</v>
      </c>
      <c r="H131" s="8" t="s">
        <v>713</v>
      </c>
      <c r="I131" s="8" t="s">
        <v>89</v>
      </c>
      <c r="J131" s="8" t="s">
        <v>36</v>
      </c>
      <c r="K131" s="8" t="s">
        <v>46</v>
      </c>
      <c r="L131" s="8" t="s">
        <v>18</v>
      </c>
      <c r="M131" s="8" t="s">
        <v>78</v>
      </c>
    </row>
    <row r="132" spans="1:13" x14ac:dyDescent="0.25">
      <c r="A132" s="8" t="s">
        <v>714</v>
      </c>
      <c r="B132" s="8" t="s">
        <v>33</v>
      </c>
      <c r="C132" s="8" t="s">
        <v>100</v>
      </c>
      <c r="D132" s="8" t="s">
        <v>715</v>
      </c>
      <c r="E132" s="8" t="s">
        <v>73</v>
      </c>
      <c r="F132" s="8" t="s">
        <v>716</v>
      </c>
      <c r="G132" s="8" t="s">
        <v>75</v>
      </c>
      <c r="H132" s="8" t="s">
        <v>717</v>
      </c>
      <c r="I132" s="8" t="s">
        <v>89</v>
      </c>
      <c r="J132" s="8" t="s">
        <v>37</v>
      </c>
      <c r="K132" s="8" t="s">
        <v>46</v>
      </c>
      <c r="L132" s="8" t="s">
        <v>18</v>
      </c>
      <c r="M132" s="8" t="s">
        <v>78</v>
      </c>
    </row>
    <row r="133" spans="1:13" x14ac:dyDescent="0.25">
      <c r="A133" s="8" t="s">
        <v>718</v>
      </c>
      <c r="B133" s="8" t="s">
        <v>33</v>
      </c>
      <c r="C133" s="8" t="s">
        <v>42</v>
      </c>
      <c r="D133" s="8" t="s">
        <v>719</v>
      </c>
      <c r="E133" s="8" t="s">
        <v>73</v>
      </c>
      <c r="F133" s="8" t="s">
        <v>720</v>
      </c>
      <c r="G133" s="8" t="s">
        <v>75</v>
      </c>
      <c r="H133" s="8" t="s">
        <v>721</v>
      </c>
      <c r="I133" s="8" t="s">
        <v>89</v>
      </c>
      <c r="J133" s="8" t="s">
        <v>42</v>
      </c>
      <c r="K133" s="8" t="s">
        <v>46</v>
      </c>
      <c r="L133" s="8" t="s">
        <v>19</v>
      </c>
      <c r="M133" s="8" t="s">
        <v>722</v>
      </c>
    </row>
  </sheetData>
  <autoFilter ref="A1:M1"/>
  <conditionalFormatting sqref="L2:L133">
    <cfRule type="containsText" dxfId="0" priority="1">
      <formula>NOT(ISERROR(SEARCH("Pass",L2)))</formula>
    </cfRule>
    <cfRule type="containsText" dxfId="1" priority="1">
      <formula>NOT(ISERROR(SEARCH("Fail",L2)))</formula>
    </cfRule>
    <cfRule type="containsText" dxfId="2" priority="1">
      <formula>NOT(ISERROR(SEARCH("Blocked",L2)))</formula>
    </cfRule>
  </conditionalFormatting>
  <dataValidations count="2">
    <dataValidation type="list" sqref="L10:L133">
      <formula1>"Not Started,Pass,Fail,Blocked,Not Applicable"</formula1>
    </dataValidation>
    <dataValidation type="list" sqref="L2:L133">
      <formula1>"Not Started,Pass,Fail,Blocked,Not Applicable"</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4"/>
  <sheetViews>
    <sheetView workbookViewId="0" zoomScale="100" zoomScaleNormal="100">
      <pane ySplit="2" topLeftCell="A3" activePane="bottomLeft" state="frozen"/>
      <selection pane="bottomLeft"/>
    </sheetView>
  </sheetViews>
  <sheetFormatPr defaultRowHeight="15" outlineLevelRow="0" outlineLevelCol="0" x14ac:dyDescent="55"/>
  <cols>
    <col min="1" max="1" width="5" customWidth="1"/>
    <col min="2" max="2" width="46" customWidth="1"/>
    <col min="3" max="6" width="16" customWidth="1"/>
    <col min="7" max="9" width="14" customWidth="1"/>
  </cols>
  <sheetData>
    <row r="1" spans="1:1" x14ac:dyDescent="0.25">
      <c r="A1" s="1" t="s">
        <v>723</v>
      </c>
    </row>
    <row r="2" ht="42" customHeight="1" spans="1:9" x14ac:dyDescent="0.25">
      <c r="A2" s="9" t="s">
        <v>724</v>
      </c>
      <c r="B2" s="9"/>
      <c r="C2" s="9"/>
      <c r="D2" s="9"/>
      <c r="E2" s="9"/>
      <c r="F2" s="9"/>
      <c r="G2" s="9"/>
      <c r="H2" s="9"/>
      <c r="I2" s="9"/>
    </row>
    <row r="4" spans="1:9" x14ac:dyDescent="0.25">
      <c r="A4" s="10" t="s">
        <v>725</v>
      </c>
      <c r="B4" s="10"/>
      <c r="C4" s="10"/>
      <c r="D4" s="10"/>
      <c r="E4" s="10"/>
      <c r="F4" s="10"/>
      <c r="G4" s="10"/>
      <c r="H4" s="10"/>
      <c r="I4" s="10"/>
    </row>
    <row r="5" spans="1:4" x14ac:dyDescent="0.25">
      <c r="A5" s="7" t="s">
        <v>75</v>
      </c>
      <c r="B5" s="7" t="s">
        <v>726</v>
      </c>
      <c r="C5" s="7" t="s">
        <v>727</v>
      </c>
      <c r="D5" s="7" t="s">
        <v>728</v>
      </c>
    </row>
    <row r="6" spans="2:4" x14ac:dyDescent="0.25">
      <c r="B6" s="8" t="s">
        <v>485</v>
      </c>
      <c r="C6" s="11">
        <v>39</v>
      </c>
      <c r="D6" s="8" t="s">
        <v>729</v>
      </c>
    </row>
    <row r="7" spans="2:4" x14ac:dyDescent="0.25">
      <c r="B7" s="8" t="s">
        <v>506</v>
      </c>
      <c r="C7" s="12">
        <v>2170</v>
      </c>
      <c r="D7" s="8" t="s">
        <v>730</v>
      </c>
    </row>
    <row r="8" spans="2:4" x14ac:dyDescent="0.25">
      <c r="B8" s="8" t="s">
        <v>520</v>
      </c>
      <c r="C8" s="12">
        <v>1650</v>
      </c>
      <c r="D8" s="8" t="s">
        <v>730</v>
      </c>
    </row>
    <row r="9" spans="2:4" x14ac:dyDescent="0.25">
      <c r="B9" s="8" t="s">
        <v>548</v>
      </c>
      <c r="C9" s="11">
        <v>78</v>
      </c>
      <c r="D9" s="8" t="s">
        <v>729</v>
      </c>
    </row>
    <row r="10" spans="2:4" x14ac:dyDescent="0.25">
      <c r="B10" s="8" t="s">
        <v>553</v>
      </c>
      <c r="C10" s="12">
        <v>149.91</v>
      </c>
      <c r="D10" s="8" t="s">
        <v>730</v>
      </c>
    </row>
    <row r="11" spans="2:4" x14ac:dyDescent="0.25">
      <c r="B11" s="8" t="s">
        <v>349</v>
      </c>
      <c r="C11" s="11">
        <v>97.5</v>
      </c>
      <c r="D11" s="8" t="s">
        <v>731</v>
      </c>
    </row>
    <row r="12" spans="2:4" x14ac:dyDescent="0.25">
      <c r="B12" s="8" t="s">
        <v>355</v>
      </c>
      <c r="C12" s="11">
        <v>10</v>
      </c>
      <c r="D12" s="8" t="s">
        <v>732</v>
      </c>
    </row>
    <row r="13" spans="2:4" x14ac:dyDescent="0.25">
      <c r="B13" s="8" t="s">
        <v>568</v>
      </c>
      <c r="C13" s="11">
        <v>23</v>
      </c>
      <c r="D13" s="8" t="s">
        <v>729</v>
      </c>
    </row>
    <row r="15" spans="1:9" x14ac:dyDescent="0.25">
      <c r="A15" s="10" t="s">
        <v>733</v>
      </c>
      <c r="B15" s="10"/>
      <c r="C15" s="10"/>
      <c r="D15" s="10"/>
      <c r="E15" s="10"/>
      <c r="F15" s="10"/>
      <c r="G15" s="10"/>
      <c r="H15" s="10"/>
      <c r="I15" s="10"/>
    </row>
    <row r="16" spans="1:8" x14ac:dyDescent="0.25">
      <c r="A16" s="7" t="s">
        <v>75</v>
      </c>
      <c r="B16" s="7" t="s">
        <v>734</v>
      </c>
      <c r="C16" s="7" t="s">
        <v>735</v>
      </c>
      <c r="D16" s="7" t="s">
        <v>736</v>
      </c>
      <c r="E16" s="7" t="s">
        <v>737</v>
      </c>
      <c r="F16" s="7" t="s">
        <v>383</v>
      </c>
      <c r="G16" s="7" t="s">
        <v>738</v>
      </c>
      <c r="H16" s="7" t="s">
        <v>739</v>
      </c>
    </row>
    <row r="17" spans="2:8" x14ac:dyDescent="0.25">
      <c r="B17" s="8" t="s">
        <v>740</v>
      </c>
      <c r="C17" s="13">
        <v>4</v>
      </c>
      <c r="D17" s="12">
        <v>115.02</v>
      </c>
      <c r="E17" s="12">
        <v>103.51</v>
      </c>
      <c r="F17" s="14">
        <v>5.3</v>
      </c>
      <c r="G17" s="15">
        <f>IF(D17=0,"—",E17/D17*100)</f>
      </c>
      <c r="H17" s="16">
        <f>IF(SUM($D$17:$D$20)=0,0,D17/SUM($D$17:$D$20)*100)</f>
      </c>
    </row>
    <row r="18" spans="2:8" x14ac:dyDescent="0.25">
      <c r="B18" s="8" t="s">
        <v>741</v>
      </c>
      <c r="C18" s="13">
        <v>4</v>
      </c>
      <c r="D18" s="12">
        <v>16.42</v>
      </c>
      <c r="E18" s="12">
        <v>9.85</v>
      </c>
      <c r="F18" s="14">
        <v>0.8</v>
      </c>
      <c r="G18" s="15">
        <f>IF(D18=0,"—",E18/D18*100)</f>
      </c>
      <c r="H18" s="16">
        <f>IF(SUM($D$17:$D$20)=0,0,D18/SUM($D$17:$D$20)*100)</f>
      </c>
    </row>
    <row r="19" spans="2:8" x14ac:dyDescent="0.25">
      <c r="B19" s="8" t="s">
        <v>742</v>
      </c>
      <c r="C19" s="13">
        <v>1</v>
      </c>
      <c r="D19" s="12">
        <v>1</v>
      </c>
      <c r="E19" s="12">
        <v>0.85</v>
      </c>
      <c r="F19" s="14">
        <v>0</v>
      </c>
      <c r="G19" s="15">
        <f>IF(D19=0,"—",E19/D19*100)</f>
      </c>
      <c r="H19" s="16">
        <f>IF(SUM($D$17:$D$20)=0,0,D19/SUM($D$17:$D$20)*100)</f>
      </c>
    </row>
    <row r="20" spans="2:8" x14ac:dyDescent="0.25">
      <c r="B20" s="8" t="s">
        <v>743</v>
      </c>
      <c r="C20" s="13">
        <v>30</v>
      </c>
      <c r="D20" s="12">
        <v>2040</v>
      </c>
      <c r="E20" s="12">
        <v>1530</v>
      </c>
      <c r="F20" s="14">
        <v>93.9</v>
      </c>
      <c r="G20" s="15">
        <f>IF(D20=0,"—",E20/D20*100)</f>
      </c>
      <c r="H20" s="16">
        <f>IF(SUM($D$17:$D$20)=0,0,D20/SUM($D$17:$D$20)*100)</f>
      </c>
    </row>
    <row r="21" spans="2:6" x14ac:dyDescent="0.25">
      <c r="B21" s="17" t="s">
        <v>744</v>
      </c>
      <c r="C21" s="13">
        <v>39</v>
      </c>
      <c r="D21" s="12">
        <v>2170</v>
      </c>
      <c r="E21" s="12">
        <v>1650</v>
      </c>
      <c r="F21" s="14">
        <v>100</v>
      </c>
    </row>
    <row r="23" spans="1:9" x14ac:dyDescent="0.25">
      <c r="A23" s="10" t="s">
        <v>745</v>
      </c>
      <c r="B23" s="10"/>
      <c r="C23" s="10"/>
      <c r="D23" s="10"/>
      <c r="E23" s="10"/>
      <c r="F23" s="10"/>
      <c r="G23" s="10"/>
      <c r="H23" s="10"/>
      <c r="I23" s="10"/>
    </row>
    <row r="24" spans="1:9" x14ac:dyDescent="0.25">
      <c r="A24" s="7" t="s">
        <v>75</v>
      </c>
      <c r="B24" s="7" t="s">
        <v>746</v>
      </c>
      <c r="C24" s="7" t="s">
        <v>747</v>
      </c>
      <c r="D24" s="7" t="s">
        <v>748</v>
      </c>
      <c r="E24" s="7" t="s">
        <v>737</v>
      </c>
      <c r="F24" s="7" t="s">
        <v>749</v>
      </c>
      <c r="G24" s="7" t="s">
        <v>750</v>
      </c>
      <c r="H24" s="7" t="s">
        <v>751</v>
      </c>
      <c r="I24" s="7" t="s">
        <v>752</v>
      </c>
    </row>
    <row r="25" spans="2:9" x14ac:dyDescent="0.25">
      <c r="B25" s="8" t="s">
        <v>753</v>
      </c>
      <c r="C25" s="11">
        <v>34</v>
      </c>
      <c r="D25" s="12">
        <v>2170</v>
      </c>
      <c r="E25" s="12">
        <v>1650</v>
      </c>
      <c r="F25" s="11">
        <v>76</v>
      </c>
      <c r="G25" s="12">
        <v>147.42</v>
      </c>
      <c r="H25" s="11">
        <v>2</v>
      </c>
      <c r="I25" s="11">
        <v>97.4</v>
      </c>
    </row>
    <row r="26" spans="2:9" x14ac:dyDescent="0.25">
      <c r="B26" s="8" t="s">
        <v>474</v>
      </c>
      <c r="C26" s="11">
        <v>4</v>
      </c>
      <c r="D26" s="12">
        <v>3.24</v>
      </c>
      <c r="E26" s="12">
        <v>2.1</v>
      </c>
      <c r="F26" s="11">
        <v>1</v>
      </c>
      <c r="G26" s="12">
        <v>1.16</v>
      </c>
      <c r="H26" s="11">
        <v>0</v>
      </c>
      <c r="I26" s="11">
        <v>100</v>
      </c>
    </row>
    <row r="27" spans="2:9" x14ac:dyDescent="0.25">
      <c r="B27" s="8" t="s">
        <v>754</v>
      </c>
      <c r="C27" s="11">
        <v>1</v>
      </c>
      <c r="D27" s="12">
        <v>1.5</v>
      </c>
      <c r="E27" s="12">
        <v>0.9</v>
      </c>
      <c r="F27" s="11">
        <v>0</v>
      </c>
      <c r="G27" s="12">
        <v>0</v>
      </c>
      <c r="H27" s="11">
        <v>0</v>
      </c>
      <c r="I27" s="11"/>
    </row>
    <row r="28" spans="2:9" x14ac:dyDescent="0.25">
      <c r="B28" s="8" t="s">
        <v>285</v>
      </c>
      <c r="C28" s="11">
        <v>0</v>
      </c>
      <c r="D28" s="12">
        <v>0</v>
      </c>
      <c r="E28" s="12">
        <v>0</v>
      </c>
      <c r="F28" s="11">
        <v>1</v>
      </c>
      <c r="G28" s="12">
        <v>1.33</v>
      </c>
      <c r="H28" s="11">
        <v>0</v>
      </c>
      <c r="I28" s="11">
        <v>100</v>
      </c>
    </row>
    <row r="29" spans="2:9" x14ac:dyDescent="0.25">
      <c r="B29" s="8" t="s">
        <v>755</v>
      </c>
      <c r="C29" s="11"/>
      <c r="D29" s="12"/>
      <c r="E29" s="12"/>
      <c r="F29" s="11"/>
      <c r="G29" s="12"/>
      <c r="H29" s="11"/>
      <c r="I29" s="11"/>
    </row>
    <row r="31" spans="1:9" x14ac:dyDescent="0.25">
      <c r="A31" s="10" t="s">
        <v>756</v>
      </c>
      <c r="B31" s="10"/>
      <c r="C31" s="10"/>
      <c r="D31" s="10"/>
      <c r="E31" s="10"/>
      <c r="F31" s="10"/>
      <c r="G31" s="10"/>
      <c r="H31" s="10"/>
      <c r="I31" s="10"/>
    </row>
    <row r="32" spans="1:3" x14ac:dyDescent="0.25">
      <c r="A32" s="7" t="s">
        <v>75</v>
      </c>
      <c r="B32" s="7" t="s">
        <v>757</v>
      </c>
      <c r="C32" s="7" t="s">
        <v>727</v>
      </c>
    </row>
    <row r="33" spans="2:3" x14ac:dyDescent="0.25">
      <c r="B33" s="8" t="s">
        <v>758</v>
      </c>
      <c r="C33" s="18"/>
    </row>
    <row r="34" spans="2:3" x14ac:dyDescent="0.25">
      <c r="B34" s="8" t="s">
        <v>759</v>
      </c>
      <c r="C34" s="12"/>
    </row>
    <row r="35" spans="2:3" x14ac:dyDescent="0.25">
      <c r="B35" s="8" t="s">
        <v>760</v>
      </c>
      <c r="C35" s="12"/>
    </row>
    <row r="36" spans="2:3" x14ac:dyDescent="0.25">
      <c r="B36" s="8" t="s">
        <v>761</v>
      </c>
      <c r="C36" s="18"/>
    </row>
    <row r="38" spans="1:9" x14ac:dyDescent="0.25">
      <c r="A38" s="10" t="s">
        <v>53</v>
      </c>
      <c r="B38" s="10"/>
      <c r="C38" s="10"/>
      <c r="D38" s="10"/>
      <c r="E38" s="10"/>
      <c r="F38" s="10"/>
      <c r="G38" s="10"/>
      <c r="H38" s="10"/>
      <c r="I38" s="10"/>
    </row>
    <row r="39" spans="1:8" x14ac:dyDescent="0.25">
      <c r="A39" s="7" t="s">
        <v>762</v>
      </c>
      <c r="B39" s="7" t="s">
        <v>763</v>
      </c>
      <c r="C39" s="7" t="s">
        <v>764</v>
      </c>
      <c r="D39" s="7" t="s">
        <v>765</v>
      </c>
      <c r="E39" s="7" t="s">
        <v>766</v>
      </c>
      <c r="F39" s="7" t="s">
        <v>767</v>
      </c>
      <c r="G39" s="7" t="s">
        <v>768</v>
      </c>
      <c r="H39" s="7" t="s">
        <v>769</v>
      </c>
    </row>
    <row r="40" spans="1:8" x14ac:dyDescent="0.25">
      <c r="A40" s="8">
        <v>1</v>
      </c>
      <c r="B40" s="8" t="s">
        <v>770</v>
      </c>
      <c r="C40" s="8" t="s">
        <v>484</v>
      </c>
      <c r="D40" s="19">
        <f>IF(ISBLANK(C6),"",C6)</f>
      </c>
      <c r="E40" s="19">
        <f>IF(ISBLANK(C21),"",C21)</f>
      </c>
      <c r="F40" s="19">
        <f>IF(OR(D40="",E40=""),"",D40-E40)</f>
      </c>
      <c r="G40" s="19">
        <f>0</f>
      </c>
      <c r="H40" s="17">
        <f>IF(OR(D40="",E40=""),"Not checked",IF(ABS(D40-E40)&lt;=G40+0.000001,"Match","Mismatch"))</f>
      </c>
    </row>
    <row r="41" spans="1:8" x14ac:dyDescent="0.25">
      <c r="A41" s="8">
        <v>2</v>
      </c>
      <c r="B41" s="8" t="s">
        <v>771</v>
      </c>
      <c r="C41" s="8" t="s">
        <v>542</v>
      </c>
      <c r="D41" s="19">
        <f>IF(ISBLANK(C6),"",C6)</f>
      </c>
      <c r="E41" s="19">
        <f>SUM(C17:C20)</f>
      </c>
      <c r="F41" s="19">
        <f>IF(OR(D41="",E41=""),"",D41-E41)</f>
      </c>
      <c r="G41" s="19">
        <f>0</f>
      </c>
      <c r="H41" s="17">
        <f>IF(OR(D41="",E41=""),"Not checked",IF(ABS(D41-E41)&lt;=G41+0.000001,"Match","Mismatch"))</f>
      </c>
    </row>
    <row r="42" spans="1:8" x14ac:dyDescent="0.25">
      <c r="A42" s="8">
        <v>3</v>
      </c>
      <c r="B42" s="8" t="s">
        <v>772</v>
      </c>
      <c r="C42" s="8" t="s">
        <v>490</v>
      </c>
      <c r="D42" s="19">
        <f>IF(ISBLANK(C6),"",C6)</f>
      </c>
      <c r="E42" s="19">
        <f>SUM(C25:C29)</f>
      </c>
      <c r="F42" s="19">
        <f>IF(OR(D42="",E42=""),"",D42-E42)</f>
      </c>
      <c r="G42" s="19">
        <f>0</f>
      </c>
      <c r="H42" s="17">
        <f>IF(OR(D42="",E42=""),"Not checked",IF(ABS(D42-E42)&lt;=G42+0.000001,"Match","Mismatch"))</f>
      </c>
    </row>
    <row r="43" spans="1:8" x14ac:dyDescent="0.25">
      <c r="A43" s="8">
        <v>4</v>
      </c>
      <c r="B43" s="8" t="s">
        <v>773</v>
      </c>
      <c r="C43" s="8" t="s">
        <v>494</v>
      </c>
      <c r="D43" s="19">
        <f>IF(ISBLANK(C6),"",C6)</f>
      </c>
      <c r="E43" s="19">
        <f>IF(ISBLANK(C33),"",C33)</f>
      </c>
      <c r="F43" s="19">
        <f>IF(OR(D43="",E43=""),"",D43-E43)</f>
      </c>
      <c r="G43" s="19">
        <f>0</f>
      </c>
      <c r="H43" s="17">
        <f>IF(OR(D43="",E43=""),"Not checked",IF(ABS(D43-E43)&lt;=G43+0.000001,"Match","Mismatch"))</f>
      </c>
    </row>
    <row r="44" spans="1:8" x14ac:dyDescent="0.25">
      <c r="A44" s="8">
        <v>5</v>
      </c>
      <c r="B44" s="8" t="s">
        <v>774</v>
      </c>
      <c r="C44" s="8" t="s">
        <v>505</v>
      </c>
      <c r="D44" s="19">
        <f>IF(ISBLANK(C7),"",C7)</f>
      </c>
      <c r="E44" s="19">
        <f>IF(ISBLANK(D21),"",D21)</f>
      </c>
      <c r="F44" s="19">
        <f>IF(OR(D44="",E44=""),"",D44-E44)</f>
      </c>
      <c r="G44" s="19">
        <f>ABS(D44)*0.005</f>
      </c>
      <c r="H44" s="17">
        <f>IF(OR(D44="",E44=""),"Not checked",IF(ABS(D44-E44)&lt;=G44+0.000001,"Match","Mismatch"))</f>
      </c>
    </row>
    <row r="45" spans="1:8" x14ac:dyDescent="0.25">
      <c r="A45" s="8">
        <v>6</v>
      </c>
      <c r="B45" s="8" t="s">
        <v>775</v>
      </c>
      <c r="C45" s="8" t="s">
        <v>505</v>
      </c>
      <c r="D45" s="19">
        <f>IF(ISBLANK(C7),"",C7)</f>
      </c>
      <c r="E45" s="19">
        <f>SUM(D17:D20)</f>
      </c>
      <c r="F45" s="19">
        <f>IF(OR(D45="",E45=""),"",D45-E45)</f>
      </c>
      <c r="G45" s="19">
        <f>ABS(D45)*0.005</f>
      </c>
      <c r="H45" s="17">
        <f>IF(OR(D45="",E45=""),"Not checked",IF(ABS(D45-E45)&lt;=G45+0.000001,"Match","Mismatch"))</f>
      </c>
    </row>
    <row r="46" spans="1:8" x14ac:dyDescent="0.25">
      <c r="A46" s="8">
        <v>7</v>
      </c>
      <c r="B46" s="8" t="s">
        <v>776</v>
      </c>
      <c r="C46" s="8" t="s">
        <v>511</v>
      </c>
      <c r="D46" s="19">
        <f>IF(ISBLANK(C7),"",C7)</f>
      </c>
      <c r="E46" s="19">
        <f>SUM(D25:D29)</f>
      </c>
      <c r="F46" s="19">
        <f>IF(OR(D46="",E46=""),"",D46-E46)</f>
      </c>
      <c r="G46" s="19">
        <f>ABS(D46)*0.005</f>
      </c>
      <c r="H46" s="17">
        <f>IF(OR(D46="",E46=""),"Not checked",IF(ABS(D46-E46)&lt;=G46+0.000001,"Match","Mismatch"))</f>
      </c>
    </row>
    <row r="47" spans="1:8" x14ac:dyDescent="0.25">
      <c r="A47" s="8">
        <v>8</v>
      </c>
      <c r="B47" s="8" t="s">
        <v>777</v>
      </c>
      <c r="C47" s="8" t="s">
        <v>515</v>
      </c>
      <c r="D47" s="19">
        <f>IF(ISBLANK(C7),"",C7)</f>
      </c>
      <c r="E47" s="19">
        <f>IF(ISBLANK(C34),"",C34)</f>
      </c>
      <c r="F47" s="19">
        <f>IF(OR(D47="",E47=""),"",D47-E47)</f>
      </c>
      <c r="G47" s="19">
        <f>ABS(D47)*0.005</f>
      </c>
      <c r="H47" s="17">
        <f>IF(OR(D47="",E47=""),"Not checked",IF(ABS(D47-E47)&lt;=G47+0.000001,"Match","Mismatch"))</f>
      </c>
    </row>
    <row r="48" spans="1:8" x14ac:dyDescent="0.25">
      <c r="A48" s="8">
        <v>9</v>
      </c>
      <c r="B48" s="8" t="s">
        <v>778</v>
      </c>
      <c r="C48" s="8" t="s">
        <v>519</v>
      </c>
      <c r="D48" s="19">
        <f>IF(ISBLANK(C8),"",C8)</f>
      </c>
      <c r="E48" s="19">
        <f>IF(ISBLANK(E21),"",E21)</f>
      </c>
      <c r="F48" s="19">
        <f>IF(OR(D48="",E48=""),"",D48-E48)</f>
      </c>
      <c r="G48" s="19">
        <f>ABS(D48)*0.005</f>
      </c>
      <c r="H48" s="17">
        <f>IF(OR(D48="",E48=""),"Not checked",IF(ABS(D48-E48)&lt;=G48+0.000001,"Match","Mismatch"))</f>
      </c>
    </row>
    <row r="49" spans="1:8" x14ac:dyDescent="0.25">
      <c r="A49" s="8">
        <v>10</v>
      </c>
      <c r="B49" s="8" t="s">
        <v>779</v>
      </c>
      <c r="C49" s="8" t="s">
        <v>519</v>
      </c>
      <c r="D49" s="19">
        <f>IF(ISBLANK(C8),"",C8)</f>
      </c>
      <c r="E49" s="19">
        <f>SUM(E17:E20)</f>
      </c>
      <c r="F49" s="19">
        <f>IF(OR(D49="",E49=""),"",D49-E49)</f>
      </c>
      <c r="G49" s="19">
        <f>ABS(D49)*0.005</f>
      </c>
      <c r="H49" s="17">
        <f>IF(OR(D49="",E49=""),"Not checked",IF(ABS(D49-E49)&lt;=G49+0.000001,"Match","Mismatch"))</f>
      </c>
    </row>
    <row r="50" spans="1:8" x14ac:dyDescent="0.25">
      <c r="A50" s="8">
        <v>11</v>
      </c>
      <c r="B50" s="8" t="s">
        <v>780</v>
      </c>
      <c r="C50" s="8" t="s">
        <v>524</v>
      </c>
      <c r="D50" s="19">
        <f>IF(ISBLANK(C8),"",C8)</f>
      </c>
      <c r="E50" s="19">
        <f>SUM(E25:E29)</f>
      </c>
      <c r="F50" s="19">
        <f>IF(OR(D50="",E50=""),"",D50-E50)</f>
      </c>
      <c r="G50" s="19">
        <f>ABS(D50)*0.005</f>
      </c>
      <c r="H50" s="17">
        <f>IF(OR(D50="",E50=""),"Not checked",IF(ABS(D50-E50)&lt;=G50+0.000001,"Match","Mismatch"))</f>
      </c>
    </row>
    <row r="51" spans="1:8" x14ac:dyDescent="0.25">
      <c r="A51" s="8">
        <v>12</v>
      </c>
      <c r="B51" s="8" t="s">
        <v>781</v>
      </c>
      <c r="C51" s="8" t="s">
        <v>528</v>
      </c>
      <c r="D51" s="19">
        <f>IF(ISBLANK(C8),"",C8)</f>
      </c>
      <c r="E51" s="19">
        <f>IF(ISBLANK(C35),"",C35)</f>
      </c>
      <c r="F51" s="19">
        <f>IF(OR(D51="",E51=""),"",D51-E51)</f>
      </c>
      <c r="G51" s="19">
        <f>ABS(D51)*0.005</f>
      </c>
      <c r="H51" s="17">
        <f>IF(OR(D51="",E51=""),"Not checked",IF(ABS(D51-E51)&lt;=G51+0.000001,"Match","Mismatch"))</f>
      </c>
    </row>
    <row r="52" spans="1:8" x14ac:dyDescent="0.25">
      <c r="A52" s="8">
        <v>13</v>
      </c>
      <c r="B52" s="8" t="s">
        <v>782</v>
      </c>
      <c r="C52" s="8" t="s">
        <v>537</v>
      </c>
      <c r="D52" s="19">
        <f>100</f>
      </c>
      <c r="E52" s="19">
        <f>SUM(F17:F20)</f>
      </c>
      <c r="F52" s="19">
        <f>IF(OR(D52="",E52=""),"",D52-E52)</f>
      </c>
      <c r="G52" s="19">
        <f>0.15</f>
      </c>
      <c r="H52" s="17">
        <f>IF(OR(D52="",E52=""),"Not checked",IF(ABS(D52-E52)&lt;=G52+0.000001,"Match","Mismatch"))</f>
      </c>
    </row>
    <row r="53" spans="1:8" x14ac:dyDescent="0.25">
      <c r="A53" s="8">
        <v>14</v>
      </c>
      <c r="B53" s="8" t="s">
        <v>783</v>
      </c>
      <c r="C53" s="8" t="s">
        <v>537</v>
      </c>
      <c r="D53" s="19">
        <f>IF(ISBLANK(F17),"",F17)</f>
      </c>
      <c r="E53" s="19">
        <f>IF(ISBLANK(H17),"",H17)</f>
      </c>
      <c r="F53" s="19">
        <f>IF(OR(D53="",E53=""),"",D53-E53)</f>
      </c>
      <c r="G53" s="19">
        <f>0.3</f>
      </c>
      <c r="H53" s="17">
        <f>IF(OR(D53="",E53=""),"Not checked",IF(ABS(D53-E53)&lt;=G53+0.000001,"Match","Mismatch"))</f>
      </c>
    </row>
    <row r="54" spans="1:8" x14ac:dyDescent="0.25">
      <c r="A54" s="8">
        <v>15</v>
      </c>
      <c r="B54" s="8" t="s">
        <v>784</v>
      </c>
      <c r="C54" s="8" t="s">
        <v>537</v>
      </c>
      <c r="D54" s="19">
        <f>IF(ISBLANK(F18),"",F18)</f>
      </c>
      <c r="E54" s="19">
        <f>IF(ISBLANK(H18),"",H18)</f>
      </c>
      <c r="F54" s="19">
        <f>IF(OR(D54="",E54=""),"",D54-E54)</f>
      </c>
      <c r="G54" s="19">
        <f>0.3</f>
      </c>
      <c r="H54" s="17">
        <f>IF(OR(D54="",E54=""),"Not checked",IF(ABS(D54-E54)&lt;=G54+0.000001,"Match","Mismatch"))</f>
      </c>
    </row>
    <row r="55" spans="1:8" x14ac:dyDescent="0.25">
      <c r="A55" s="8">
        <v>16</v>
      </c>
      <c r="B55" s="8" t="s">
        <v>785</v>
      </c>
      <c r="C55" s="8" t="s">
        <v>537</v>
      </c>
      <c r="D55" s="19">
        <f>IF(ISBLANK(F19),"",F19)</f>
      </c>
      <c r="E55" s="19">
        <f>IF(ISBLANK(H19),"",H19)</f>
      </c>
      <c r="F55" s="19">
        <f>IF(OR(D55="",E55=""),"",D55-E55)</f>
      </c>
      <c r="G55" s="19">
        <f>0.3</f>
      </c>
      <c r="H55" s="17">
        <f>IF(OR(D55="",E55=""),"Not checked",IF(ABS(D55-E55)&lt;=G55+0.000001,"Match","Mismatch"))</f>
      </c>
    </row>
    <row r="56" spans="1:8" x14ac:dyDescent="0.25">
      <c r="A56" s="8">
        <v>17</v>
      </c>
      <c r="B56" s="8" t="s">
        <v>786</v>
      </c>
      <c r="C56" s="8" t="s">
        <v>537</v>
      </c>
      <c r="D56" s="19">
        <f>IF(ISBLANK(F20),"",F20)</f>
      </c>
      <c r="E56" s="19">
        <f>IF(ISBLANK(H20),"",H20)</f>
      </c>
      <c r="F56" s="19">
        <f>IF(OR(D56="",E56=""),"",D56-E56)</f>
      </c>
      <c r="G56" s="19">
        <f>0.3</f>
      </c>
      <c r="H56" s="17">
        <f>IF(OR(D56="",E56=""),"Not checked",IF(ABS(D56-E56)&lt;=G56+0.000001,"Match","Mismatch"))</f>
      </c>
    </row>
    <row r="57" spans="1:8" x14ac:dyDescent="0.25">
      <c r="A57" s="8">
        <v>18</v>
      </c>
      <c r="B57" s="8" t="s">
        <v>787</v>
      </c>
      <c r="C57" s="8" t="s">
        <v>547</v>
      </c>
      <c r="D57" s="19">
        <f>IF(ISBLANK(C9),"",C9)</f>
      </c>
      <c r="E57" s="19">
        <f>SUM(F25:F29)</f>
      </c>
      <c r="F57" s="19">
        <f>IF(OR(D57="",E57=""),"",D57-E57)</f>
      </c>
      <c r="G57" s="19">
        <f>0</f>
      </c>
      <c r="H57" s="17">
        <f>IF(OR(D57="",E57=""),"Not checked",IF(ABS(D57-E57)&lt;=G57+0.000001,"Match","Mismatch"))</f>
      </c>
    </row>
    <row r="58" spans="1:8" x14ac:dyDescent="0.25">
      <c r="A58" s="8">
        <v>19</v>
      </c>
      <c r="B58" s="8" t="s">
        <v>788</v>
      </c>
      <c r="C58" s="8" t="s">
        <v>552</v>
      </c>
      <c r="D58" s="19">
        <f>IF(ISBLANK(C10),"",C10)</f>
      </c>
      <c r="E58" s="19">
        <f>SUM(G25:G29)</f>
      </c>
      <c r="F58" s="19">
        <f>IF(OR(D58="",E58=""),"",D58-E58)</f>
      </c>
      <c r="G58" s="19">
        <f>ABS(D58)*0.005</f>
      </c>
      <c r="H58" s="17">
        <f>IF(OR(D58="",E58=""),"Not checked",IF(ABS(D58-E58)&lt;=G58+0.000001,"Match","Mismatch"))</f>
      </c>
    </row>
    <row r="59" spans="1:8" x14ac:dyDescent="0.25">
      <c r="A59" s="8">
        <v>20</v>
      </c>
      <c r="B59" s="8" t="s">
        <v>789</v>
      </c>
      <c r="C59" s="8" t="s">
        <v>557</v>
      </c>
      <c r="D59" s="19">
        <f>IF(ISBLANK(C11),"",C11)</f>
      </c>
      <c r="E59" s="19">
        <f>IF(SUM(F25:F29)+SUM(H25:H29)=0,"",SUM(F25:F29)/(SUM(F25:F29)+SUM(H25:H29))*100)</f>
      </c>
      <c r="F59" s="19">
        <f>IF(OR(D59="",E59=""),"",D59-E59)</f>
      </c>
      <c r="G59" s="19">
        <f>0.05</f>
      </c>
      <c r="H59" s="17">
        <f>IF(OR(D59="",E59=""),"Not checked",IF(ABS(D59-E59)&lt;=G59+0.000001,"Match","Mismatch"))</f>
      </c>
    </row>
    <row r="60" spans="1:8" x14ac:dyDescent="0.25">
      <c r="A60" s="8">
        <v>21</v>
      </c>
      <c r="B60" s="8" t="s">
        <v>790</v>
      </c>
      <c r="C60" s="8" t="s">
        <v>562</v>
      </c>
      <c r="D60" s="19">
        <f>IF(ISBLANK(I25),"",I25)</f>
      </c>
      <c r="E60" s="19">
        <f>IF(F25+H25=0,"",F25/(F25+H25)*100)</f>
      </c>
      <c r="F60" s="19">
        <f>IF(OR(D60="",E60=""),"",D60-E60)</f>
      </c>
      <c r="G60" s="19">
        <f>0.05</f>
      </c>
      <c r="H60" s="17">
        <f>IF(OR(D60="",E60=""),"Not checked",IF(ABS(D60-E60)&lt;=G60+0.000001,"Match","Mismatch"))</f>
      </c>
    </row>
    <row r="61" spans="1:8" x14ac:dyDescent="0.25">
      <c r="A61" s="8">
        <v>22</v>
      </c>
      <c r="B61" s="8" t="s">
        <v>791</v>
      </c>
      <c r="C61" s="8" t="s">
        <v>562</v>
      </c>
      <c r="D61" s="19">
        <f>IF(ISBLANK(I26),"",I26)</f>
      </c>
      <c r="E61" s="19">
        <f>IF(F26+H26=0,"",F26/(F26+H26)*100)</f>
      </c>
      <c r="F61" s="19">
        <f>IF(OR(D61="",E61=""),"",D61-E61)</f>
      </c>
      <c r="G61" s="19">
        <f>0.05</f>
      </c>
      <c r="H61" s="17">
        <f>IF(OR(D61="",E61=""),"Not checked",IF(ABS(D61-E61)&lt;=G61+0.000001,"Match","Mismatch"))</f>
      </c>
    </row>
    <row r="62" spans="1:8" x14ac:dyDescent="0.25">
      <c r="A62" s="8">
        <v>23</v>
      </c>
      <c r="B62" s="8" t="s">
        <v>792</v>
      </c>
      <c r="C62" s="8" t="s">
        <v>562</v>
      </c>
      <c r="D62" s="19">
        <f>IF(ISBLANK(I27),"",I27)</f>
      </c>
      <c r="E62" s="19">
        <f>IF(F27+H27=0,"",F27/(F27+H27)*100)</f>
      </c>
      <c r="F62" s="19">
        <f>IF(OR(D62="",E62=""),"",D62-E62)</f>
      </c>
      <c r="G62" s="19">
        <f>0.05</f>
      </c>
      <c r="H62" s="17">
        <f>IF(OR(D62="",E62=""),"Not checked",IF(ABS(D62-E62)&lt;=G62+0.000001,"Match","Mismatch"))</f>
      </c>
    </row>
    <row r="63" spans="1:8" x14ac:dyDescent="0.25">
      <c r="A63" s="8">
        <v>24</v>
      </c>
      <c r="B63" s="8" t="s">
        <v>793</v>
      </c>
      <c r="C63" s="8" t="s">
        <v>562</v>
      </c>
      <c r="D63" s="19">
        <f>IF(ISBLANK(I28),"",I28)</f>
      </c>
      <c r="E63" s="19">
        <f>IF(F28+H28=0,"",F28/(F28+H28)*100)</f>
      </c>
      <c r="F63" s="19">
        <f>IF(OR(D63="",E63=""),"",D63-E63)</f>
      </c>
      <c r="G63" s="19">
        <f>0.05</f>
      </c>
      <c r="H63" s="17">
        <f>IF(OR(D63="",E63=""),"Not checked",IF(ABS(D63-E63)&lt;=G63+0.000001,"Match","Mismatch"))</f>
      </c>
    </row>
    <row r="64" spans="1:8" x14ac:dyDescent="0.25">
      <c r="A64" s="8">
        <v>25</v>
      </c>
      <c r="B64" s="8" t="s">
        <v>794</v>
      </c>
      <c r="C64" s="8" t="s">
        <v>567</v>
      </c>
      <c r="D64" s="19">
        <f>IF(ISBLANK(C13),"",C13)</f>
      </c>
      <c r="E64" s="19">
        <f>IF(ISBLANK(C36),"",C36)</f>
      </c>
      <c r="F64" s="19">
        <f>IF(OR(D64="",E64=""),"",D64-E64)</f>
      </c>
      <c r="G64" s="19">
        <f>0</f>
      </c>
      <c r="H64" s="17">
        <f>IF(OR(D64="",E64=""),"Not checked",IF(ABS(D64-E64)&lt;=G64+0.000001,"Match","Mismatch"))</f>
      </c>
    </row>
    <row r="65" spans="1:8" x14ac:dyDescent="0.25">
      <c r="A65" s="8">
        <v>26</v>
      </c>
      <c r="B65" s="8" t="s">
        <v>795</v>
      </c>
      <c r="C65" s="8" t="s">
        <v>567</v>
      </c>
      <c r="D65" s="19">
        <f>IF(ISBLANK(C13),"",C13)</f>
      </c>
      <c r="E65" s="19">
        <f>IF(ISBLANK(C6),"",C6)</f>
      </c>
      <c r="F65" s="19">
        <f>IF(OR(D65="",E65=""),"",D65-E65)</f>
      </c>
      <c r="G65" s="8" t="s">
        <v>796</v>
      </c>
      <c r="H65" s="17">
        <f>IF(OR(D65="",E65=""),"Not checked",IF(D65&lt;=E65,"Match","Mismatch"))</f>
      </c>
    </row>
    <row r="66" spans="1:8" x14ac:dyDescent="0.25">
      <c r="A66" s="8">
        <v>27</v>
      </c>
      <c r="B66" s="8" t="s">
        <v>797</v>
      </c>
      <c r="C66" s="8" t="s">
        <v>532</v>
      </c>
      <c r="D66" s="19">
        <f>IF(ISBLANK(C8),"",C8)</f>
      </c>
      <c r="E66" s="19">
        <f>IF(ISBLANK(C7),"",C7)</f>
      </c>
      <c r="F66" s="19">
        <f>IF(OR(D66="",E66=""),"",D66-E66)</f>
      </c>
      <c r="G66" s="8" t="s">
        <v>796</v>
      </c>
      <c r="H66" s="17">
        <f>IF(OR(D66="",E66=""),"Not checked",IF(D66&lt;=E66,"Match","Mismatch"))</f>
      </c>
    </row>
    <row r="67" spans="1:8" x14ac:dyDescent="0.25">
      <c r="A67" s="8">
        <v>28</v>
      </c>
      <c r="B67" s="8" t="s">
        <v>798</v>
      </c>
      <c r="C67" s="8" t="s">
        <v>532</v>
      </c>
      <c r="D67" s="19">
        <f>IF(ISBLANK(E17),"",E17)</f>
      </c>
      <c r="E67" s="19">
        <f>IF(ISBLANK(D17),"",D17)</f>
      </c>
      <c r="F67" s="19">
        <f>IF(OR(D67="",E67=""),"",D67-E67)</f>
      </c>
      <c r="G67" s="8" t="s">
        <v>796</v>
      </c>
      <c r="H67" s="17">
        <f>IF(OR(D67="",E67=""),"Not checked",IF(D67&lt;=E67,"Match","Mismatch"))</f>
      </c>
    </row>
    <row r="68" spans="1:8" x14ac:dyDescent="0.25">
      <c r="A68" s="8">
        <v>29</v>
      </c>
      <c r="B68" s="8" t="s">
        <v>799</v>
      </c>
      <c r="C68" s="8" t="s">
        <v>532</v>
      </c>
      <c r="D68" s="19">
        <f>IF(ISBLANK(E18),"",E18)</f>
      </c>
      <c r="E68" s="19">
        <f>IF(ISBLANK(D18),"",D18)</f>
      </c>
      <c r="F68" s="19">
        <f>IF(OR(D68="",E68=""),"",D68-E68)</f>
      </c>
      <c r="G68" s="8" t="s">
        <v>796</v>
      </c>
      <c r="H68" s="17">
        <f>IF(OR(D68="",E68=""),"Not checked",IF(D68&lt;=E68,"Match","Mismatch"))</f>
      </c>
    </row>
    <row r="69" spans="1:8" x14ac:dyDescent="0.25">
      <c r="A69" s="8">
        <v>30</v>
      </c>
      <c r="B69" s="8" t="s">
        <v>800</v>
      </c>
      <c r="C69" s="8" t="s">
        <v>532</v>
      </c>
      <c r="D69" s="19">
        <f>IF(ISBLANK(E19),"",E19)</f>
      </c>
      <c r="E69" s="19">
        <f>IF(ISBLANK(D19),"",D19)</f>
      </c>
      <c r="F69" s="19">
        <f>IF(OR(D69="",E69=""),"",D69-E69)</f>
      </c>
      <c r="G69" s="8" t="s">
        <v>796</v>
      </c>
      <c r="H69" s="17">
        <f>IF(OR(D69="",E69=""),"Not checked",IF(D69&lt;=E69,"Match","Mismatch"))</f>
      </c>
    </row>
    <row r="70" spans="1:8" x14ac:dyDescent="0.25">
      <c r="A70" s="8">
        <v>31</v>
      </c>
      <c r="B70" s="8" t="s">
        <v>801</v>
      </c>
      <c r="C70" s="8" t="s">
        <v>532</v>
      </c>
      <c r="D70" s="19">
        <f>IF(ISBLANK(E20),"",E20)</f>
      </c>
      <c r="E70" s="19">
        <f>IF(ISBLANK(D20),"",D20)</f>
      </c>
      <c r="F70" s="19">
        <f>IF(OR(D70="",E70=""),"",D70-E70)</f>
      </c>
      <c r="G70" s="8" t="s">
        <v>796</v>
      </c>
      <c r="H70" s="17">
        <f>IF(OR(D70="",E70=""),"Not checked",IF(D70&lt;=E70,"Match","Mismatch"))</f>
      </c>
    </row>
    <row r="71" spans="1:8" x14ac:dyDescent="0.25">
      <c r="A71" s="8">
        <v>32</v>
      </c>
      <c r="B71" s="8" t="s">
        <v>802</v>
      </c>
      <c r="C71" s="8" t="s">
        <v>532</v>
      </c>
      <c r="D71" s="19">
        <f>IF(ISBLANK(E25),"",E25)</f>
      </c>
      <c r="E71" s="19">
        <f>IF(ISBLANK(D25),"",D25)</f>
      </c>
      <c r="F71" s="19">
        <f>IF(OR(D71="",E71=""),"",D71-E71)</f>
      </c>
      <c r="G71" s="8" t="s">
        <v>796</v>
      </c>
      <c r="H71" s="17">
        <f>IF(OR(D71="",E71=""),"Not checked",IF(D71&lt;=E71,"Match","Mismatch"))</f>
      </c>
    </row>
    <row r="72" spans="1:8" x14ac:dyDescent="0.25">
      <c r="A72" s="8">
        <v>33</v>
      </c>
      <c r="B72" s="8" t="s">
        <v>803</v>
      </c>
      <c r="C72" s="8" t="s">
        <v>532</v>
      </c>
      <c r="D72" s="19">
        <f>IF(ISBLANK(E26),"",E26)</f>
      </c>
      <c r="E72" s="19">
        <f>IF(ISBLANK(D26),"",D26)</f>
      </c>
      <c r="F72" s="19">
        <f>IF(OR(D72="",E72=""),"",D72-E72)</f>
      </c>
      <c r="G72" s="8" t="s">
        <v>796</v>
      </c>
      <c r="H72" s="17">
        <f>IF(OR(D72="",E72=""),"Not checked",IF(D72&lt;=E72,"Match","Mismatch"))</f>
      </c>
    </row>
    <row r="73" spans="1:8" x14ac:dyDescent="0.25">
      <c r="A73" s="8">
        <v>34</v>
      </c>
      <c r="B73" s="8" t="s">
        <v>804</v>
      </c>
      <c r="C73" s="8" t="s">
        <v>532</v>
      </c>
      <c r="D73" s="19">
        <f>IF(ISBLANK(E27),"",E27)</f>
      </c>
      <c r="E73" s="19">
        <f>IF(ISBLANK(D27),"",D27)</f>
      </c>
      <c r="F73" s="19">
        <f>IF(OR(D73="",E73=""),"",D73-E73)</f>
      </c>
      <c r="G73" s="8" t="s">
        <v>796</v>
      </c>
      <c r="H73" s="17">
        <f>IF(OR(D73="",E73=""),"Not checked",IF(D73&lt;=E73,"Match","Mismatch"))</f>
      </c>
    </row>
    <row r="74" spans="1:8" x14ac:dyDescent="0.25">
      <c r="A74" s="8">
        <v>35</v>
      </c>
      <c r="B74" s="8" t="s">
        <v>805</v>
      </c>
      <c r="C74" s="8" t="s">
        <v>532</v>
      </c>
      <c r="D74" s="19">
        <f>IF(ISBLANK(E28),"",E28)</f>
      </c>
      <c r="E74" s="19">
        <f>IF(ISBLANK(D28),"",D28)</f>
      </c>
      <c r="F74" s="19">
        <f>IF(OR(D74="",E74=""),"",D74-E74)</f>
      </c>
      <c r="G74" s="8" t="s">
        <v>796</v>
      </c>
      <c r="H74" s="17">
        <f>IF(OR(D74="",E74=""),"Not checked",IF(D74&lt;=E74,"Match","Mismatch"))</f>
      </c>
    </row>
  </sheetData>
  <mergeCells count="6">
    <mergeCell ref="A2:I2"/>
    <mergeCell ref="A4:I4"/>
    <mergeCell ref="A15:I15"/>
    <mergeCell ref="A23:I23"/>
    <mergeCell ref="A31:I31"/>
    <mergeCell ref="A38:I38"/>
  </mergeCells>
  <conditionalFormatting sqref="H40:H74">
    <cfRule type="containsText" dxfId="3" priority="1">
      <formula>NOT(ISERROR(SEARCH("Mismatch",H40)))</formula>
    </cfRule>
    <cfRule type="containsText" dxfId="4" priority="2">
      <formula>NOT(ISERROR(SEARCH("Match",H40)))</formula>
    </cfRule>
  </conditionalFormatting>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4" customWidth="1"/>
    <col min="2" max="2" width="20" customWidth="1"/>
    <col min="3" max="3" width="18" customWidth="1"/>
    <col min="4" max="4" width="40" customWidth="1"/>
    <col min="5" max="5" width="34" customWidth="1"/>
    <col min="6" max="8" width="44" customWidth="1"/>
    <col min="9" max="9" width="22" customWidth="1"/>
  </cols>
  <sheetData>
    <row r="1" ht="30" customHeight="1" spans="1:9" x14ac:dyDescent="0.25">
      <c r="A1" s="7" t="s">
        <v>40</v>
      </c>
      <c r="B1" s="7" t="s">
        <v>806</v>
      </c>
      <c r="C1" s="7" t="s">
        <v>807</v>
      </c>
      <c r="D1" s="7" t="s">
        <v>808</v>
      </c>
      <c r="E1" s="7" t="s">
        <v>809</v>
      </c>
      <c r="F1" s="7" t="s">
        <v>810</v>
      </c>
      <c r="G1" s="7" t="s">
        <v>811</v>
      </c>
      <c r="H1" s="7" t="s">
        <v>812</v>
      </c>
      <c r="I1" s="7" t="s">
        <v>813</v>
      </c>
    </row>
    <row r="2" spans="1:9" x14ac:dyDescent="0.25">
      <c r="A2" s="8" t="s">
        <v>579</v>
      </c>
      <c r="B2" s="8" t="s">
        <v>814</v>
      </c>
      <c r="C2" s="8" t="s">
        <v>815</v>
      </c>
      <c r="D2" s="8" t="s">
        <v>816</v>
      </c>
      <c r="E2" s="8" t="s">
        <v>817</v>
      </c>
      <c r="F2" s="8" t="s">
        <v>818</v>
      </c>
      <c r="G2" s="8" t="s">
        <v>819</v>
      </c>
      <c r="H2" s="8" t="s">
        <v>820</v>
      </c>
      <c r="I2" s="8" t="s">
        <v>821</v>
      </c>
    </row>
    <row r="3" spans="1:9" x14ac:dyDescent="0.25">
      <c r="A3" s="8" t="s">
        <v>822</v>
      </c>
      <c r="B3" s="8" t="s">
        <v>822</v>
      </c>
      <c r="C3" s="8" t="s">
        <v>823</v>
      </c>
      <c r="D3" s="8" t="s">
        <v>824</v>
      </c>
      <c r="E3" s="8" t="s">
        <v>825</v>
      </c>
      <c r="F3" s="8" t="s">
        <v>826</v>
      </c>
      <c r="G3" s="8" t="s">
        <v>827</v>
      </c>
      <c r="H3" s="8" t="s">
        <v>828</v>
      </c>
      <c r="I3" s="8" t="s">
        <v>829</v>
      </c>
    </row>
    <row r="4" spans="1:9" x14ac:dyDescent="0.25">
      <c r="A4" s="8" t="s">
        <v>746</v>
      </c>
      <c r="B4" s="8" t="s">
        <v>746</v>
      </c>
      <c r="C4" s="8" t="s">
        <v>830</v>
      </c>
      <c r="D4" s="8" t="s">
        <v>831</v>
      </c>
      <c r="E4" s="8" t="s">
        <v>832</v>
      </c>
      <c r="F4" s="8" t="s">
        <v>826</v>
      </c>
      <c r="G4" s="8" t="s">
        <v>827</v>
      </c>
      <c r="H4" s="8" t="s">
        <v>833</v>
      </c>
      <c r="I4" s="8" t="s">
        <v>834</v>
      </c>
    </row>
    <row r="5" spans="1:9" x14ac:dyDescent="0.25">
      <c r="A5" s="8" t="s">
        <v>835</v>
      </c>
      <c r="B5" s="8" t="s">
        <v>835</v>
      </c>
      <c r="C5" s="8" t="s">
        <v>836</v>
      </c>
      <c r="D5" s="8" t="s">
        <v>837</v>
      </c>
      <c r="E5" s="8" t="s">
        <v>838</v>
      </c>
      <c r="F5" s="8" t="s">
        <v>826</v>
      </c>
      <c r="G5" s="8" t="s">
        <v>827</v>
      </c>
      <c r="H5" s="8" t="s">
        <v>839</v>
      </c>
      <c r="I5" s="8" t="s">
        <v>840</v>
      </c>
    </row>
    <row r="6" spans="1:9" x14ac:dyDescent="0.25">
      <c r="A6" s="8" t="s">
        <v>841</v>
      </c>
      <c r="B6" s="8" t="s">
        <v>841</v>
      </c>
      <c r="C6" s="8" t="s">
        <v>842</v>
      </c>
      <c r="D6" s="8" t="s">
        <v>843</v>
      </c>
      <c r="E6" s="8" t="s">
        <v>844</v>
      </c>
      <c r="F6" s="8" t="s">
        <v>826</v>
      </c>
      <c r="G6" s="8" t="s">
        <v>827</v>
      </c>
      <c r="H6" s="8" t="s">
        <v>845</v>
      </c>
      <c r="I6" s="8" t="s">
        <v>846</v>
      </c>
    </row>
    <row r="7" spans="1:9" x14ac:dyDescent="0.25">
      <c r="A7" s="8" t="s">
        <v>847</v>
      </c>
      <c r="B7" s="8" t="s">
        <v>848</v>
      </c>
      <c r="C7" s="8" t="s">
        <v>849</v>
      </c>
      <c r="D7" s="8" t="s">
        <v>850</v>
      </c>
      <c r="E7" s="8" t="s">
        <v>851</v>
      </c>
      <c r="F7" s="8" t="s">
        <v>826</v>
      </c>
      <c r="G7" s="8" t="s">
        <v>827</v>
      </c>
      <c r="H7" s="8" t="s">
        <v>852</v>
      </c>
      <c r="I7" s="8" t="s">
        <v>853</v>
      </c>
    </row>
    <row r="8" spans="1:9" x14ac:dyDescent="0.25">
      <c r="A8" s="8" t="s">
        <v>24</v>
      </c>
      <c r="B8" s="8" t="s">
        <v>24</v>
      </c>
      <c r="C8" s="8" t="s">
        <v>854</v>
      </c>
      <c r="D8" s="8" t="s">
        <v>827</v>
      </c>
      <c r="E8" s="8" t="s">
        <v>827</v>
      </c>
      <c r="F8" s="8" t="s">
        <v>855</v>
      </c>
      <c r="G8" s="8" t="s">
        <v>856</v>
      </c>
      <c r="H8" s="8" t="s">
        <v>857</v>
      </c>
      <c r="I8" s="8" t="s">
        <v>858</v>
      </c>
    </row>
  </sheetData>
  <autoFilter ref="A1:I1"/>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workbookViewId="0" zoomScale="100" zoomScaleNormal="100">
      <pane ySplit="1" topLeftCell="A2" activePane="bottomLeft" state="frozen"/>
      <selection pane="bottomLeft"/>
    </sheetView>
  </sheetViews>
  <sheetFormatPr defaultRowHeight="15" outlineLevelRow="0" outlineLevelCol="0" x14ac:dyDescent="55"/>
  <cols>
    <col min="2" max="2" width="22" customWidth="1"/>
    <col min="3" max="3" width="60" customWidth="1"/>
    <col min="4" max="4" width="50" customWidth="1"/>
    <col min="5" max="6" width="12" customWidth="1"/>
  </cols>
  <sheetData>
    <row r="1" ht="30" customHeight="1" spans="1:6" x14ac:dyDescent="0.25">
      <c r="A1" s="7" t="s">
        <v>859</v>
      </c>
      <c r="B1" s="7" t="s">
        <v>59</v>
      </c>
      <c r="C1" s="7" t="s">
        <v>860</v>
      </c>
      <c r="D1" s="7" t="s">
        <v>861</v>
      </c>
      <c r="E1" s="7" t="s">
        <v>862</v>
      </c>
      <c r="F1" s="7" t="s">
        <v>764</v>
      </c>
    </row>
    <row r="2" spans="1:6" x14ac:dyDescent="0.25">
      <c r="A2" s="8" t="s">
        <v>863</v>
      </c>
      <c r="B2" s="8" t="s">
        <v>579</v>
      </c>
      <c r="C2" s="8" t="s">
        <v>864</v>
      </c>
      <c r="D2" s="8" t="s">
        <v>865</v>
      </c>
      <c r="E2" s="8" t="s">
        <v>45</v>
      </c>
      <c r="F2" s="8" t="s">
        <v>163</v>
      </c>
    </row>
    <row r="3" spans="1:6" x14ac:dyDescent="0.25">
      <c r="A3" s="8" t="s">
        <v>866</v>
      </c>
      <c r="B3" s="8" t="s">
        <v>26</v>
      </c>
      <c r="C3" s="8" t="s">
        <v>867</v>
      </c>
      <c r="D3" s="8" t="s">
        <v>868</v>
      </c>
      <c r="E3" s="8" t="s">
        <v>46</v>
      </c>
      <c r="F3" s="8" t="s">
        <v>370</v>
      </c>
    </row>
    <row r="4" spans="1:6" x14ac:dyDescent="0.25">
      <c r="A4" s="8" t="s">
        <v>869</v>
      </c>
      <c r="B4" s="8" t="s">
        <v>26</v>
      </c>
      <c r="C4" s="8" t="s">
        <v>870</v>
      </c>
      <c r="D4" s="8" t="s">
        <v>871</v>
      </c>
      <c r="E4" s="8" t="s">
        <v>46</v>
      </c>
      <c r="F4" s="8" t="s">
        <v>382</v>
      </c>
    </row>
    <row r="5" spans="1:6" x14ac:dyDescent="0.25">
      <c r="A5" s="8" t="s">
        <v>872</v>
      </c>
      <c r="B5" s="8" t="s">
        <v>520</v>
      </c>
      <c r="C5" s="8" t="s">
        <v>873</v>
      </c>
      <c r="D5" s="8" t="s">
        <v>874</v>
      </c>
      <c r="E5" s="8" t="s">
        <v>45</v>
      </c>
      <c r="F5" s="8" t="s">
        <v>528</v>
      </c>
    </row>
    <row r="6" spans="1:6" x14ac:dyDescent="0.25">
      <c r="A6" s="8" t="s">
        <v>875</v>
      </c>
      <c r="B6" s="8" t="s">
        <v>28</v>
      </c>
      <c r="C6" s="8" t="s">
        <v>876</v>
      </c>
      <c r="D6" s="8" t="s">
        <v>877</v>
      </c>
      <c r="E6" s="8" t="s">
        <v>46</v>
      </c>
      <c r="F6" s="8" t="s">
        <v>441</v>
      </c>
    </row>
    <row r="7" spans="1:6" x14ac:dyDescent="0.25">
      <c r="A7" s="8" t="s">
        <v>878</v>
      </c>
      <c r="B7" s="8" t="s">
        <v>27</v>
      </c>
      <c r="C7" s="8" t="s">
        <v>879</v>
      </c>
      <c r="D7" s="8" t="s">
        <v>880</v>
      </c>
      <c r="E7" s="8" t="s">
        <v>46</v>
      </c>
      <c r="F7" s="8" t="s">
        <v>409</v>
      </c>
    </row>
    <row r="8" spans="1:6" x14ac:dyDescent="0.25">
      <c r="A8" s="8" t="s">
        <v>881</v>
      </c>
      <c r="B8" s="8" t="s">
        <v>882</v>
      </c>
      <c r="C8" s="8" t="s">
        <v>883</v>
      </c>
      <c r="D8" s="8" t="s">
        <v>884</v>
      </c>
      <c r="E8" s="8" t="s">
        <v>46</v>
      </c>
      <c r="F8" s="8" t="s">
        <v>342</v>
      </c>
    </row>
    <row r="9" spans="1:6" x14ac:dyDescent="0.25">
      <c r="A9" s="8" t="s">
        <v>885</v>
      </c>
      <c r="B9" s="8" t="s">
        <v>548</v>
      </c>
      <c r="C9" s="8" t="s">
        <v>886</v>
      </c>
      <c r="D9" s="8" t="s">
        <v>887</v>
      </c>
      <c r="E9" s="8" t="s">
        <v>888</v>
      </c>
      <c r="F9" s="8" t="s">
        <v>674</v>
      </c>
    </row>
    <row r="10" spans="1:6" x14ac:dyDescent="0.25">
      <c r="A10" s="8" t="s">
        <v>889</v>
      </c>
      <c r="B10" s="8" t="s">
        <v>890</v>
      </c>
      <c r="C10" s="8" t="s">
        <v>891</v>
      </c>
      <c r="D10" s="8" t="s">
        <v>892</v>
      </c>
      <c r="E10" s="8" t="s">
        <v>45</v>
      </c>
      <c r="F10" s="8" t="s">
        <v>434</v>
      </c>
    </row>
    <row r="11" spans="1:6" x14ac:dyDescent="0.25">
      <c r="A11" s="8" t="s">
        <v>893</v>
      </c>
      <c r="B11" s="8" t="s">
        <v>485</v>
      </c>
      <c r="C11" s="8" t="s">
        <v>894</v>
      </c>
      <c r="D11" s="8" t="s">
        <v>895</v>
      </c>
      <c r="E11" s="8" t="s">
        <v>17</v>
      </c>
      <c r="F11" s="8" t="s">
        <v>649</v>
      </c>
    </row>
    <row r="12" spans="1:6" x14ac:dyDescent="0.25">
      <c r="A12" s="8" t="s">
        <v>896</v>
      </c>
      <c r="B12" s="8" t="s">
        <v>506</v>
      </c>
      <c r="C12" s="8" t="s">
        <v>897</v>
      </c>
      <c r="D12" s="8" t="s">
        <v>898</v>
      </c>
      <c r="E12" s="8" t="s">
        <v>17</v>
      </c>
      <c r="F12" s="8" t="s">
        <v>655</v>
      </c>
    </row>
    <row r="13" spans="1:6" x14ac:dyDescent="0.25">
      <c r="A13" s="8" t="s">
        <v>899</v>
      </c>
      <c r="B13" s="8" t="s">
        <v>548</v>
      </c>
      <c r="C13" s="8" t="s">
        <v>900</v>
      </c>
      <c r="D13" s="8" t="s">
        <v>901</v>
      </c>
      <c r="E13" s="8" t="s">
        <v>17</v>
      </c>
      <c r="F13" s="8" t="s">
        <v>665</v>
      </c>
    </row>
    <row r="14" spans="1:6" x14ac:dyDescent="0.25">
      <c r="A14" s="8" t="s">
        <v>902</v>
      </c>
      <c r="B14" s="8" t="s">
        <v>903</v>
      </c>
      <c r="C14" s="8" t="s">
        <v>904</v>
      </c>
      <c r="D14" s="8" t="s">
        <v>905</v>
      </c>
      <c r="E14" s="8" t="s">
        <v>17</v>
      </c>
      <c r="F14" s="8" t="s">
        <v>601</v>
      </c>
    </row>
    <row r="15" spans="1:6" x14ac:dyDescent="0.25">
      <c r="A15" s="8" t="s">
        <v>906</v>
      </c>
      <c r="B15" s="8" t="s">
        <v>907</v>
      </c>
      <c r="C15" s="8" t="s">
        <v>908</v>
      </c>
      <c r="D15" s="8" t="s">
        <v>909</v>
      </c>
      <c r="E15" s="8" t="s">
        <v>45</v>
      </c>
      <c r="F15" s="8" t="s">
        <v>596</v>
      </c>
    </row>
    <row r="16" spans="1:6" x14ac:dyDescent="0.25">
      <c r="A16" s="8" t="s">
        <v>910</v>
      </c>
      <c r="B16" s="8" t="s">
        <v>911</v>
      </c>
      <c r="C16" s="8" t="s">
        <v>912</v>
      </c>
      <c r="D16" s="8" t="s">
        <v>913</v>
      </c>
      <c r="E16" s="8" t="s">
        <v>45</v>
      </c>
      <c r="F16" s="8" t="s">
        <v>277</v>
      </c>
    </row>
    <row r="17" spans="1:6" x14ac:dyDescent="0.25">
      <c r="A17" s="8" t="s">
        <v>914</v>
      </c>
      <c r="B17" s="8" t="s">
        <v>915</v>
      </c>
      <c r="C17" s="8" t="s">
        <v>916</v>
      </c>
      <c r="D17" s="8" t="s">
        <v>917</v>
      </c>
      <c r="E17" s="8" t="s">
        <v>45</v>
      </c>
      <c r="F17" s="8" t="s">
        <v>253</v>
      </c>
    </row>
    <row r="18" spans="1:6" x14ac:dyDescent="0.25">
      <c r="A18" s="8" t="s">
        <v>918</v>
      </c>
      <c r="B18" s="8" t="s">
        <v>181</v>
      </c>
      <c r="C18" s="8" t="s">
        <v>919</v>
      </c>
      <c r="D18" s="8" t="s">
        <v>920</v>
      </c>
      <c r="E18" s="8" t="s">
        <v>45</v>
      </c>
      <c r="F18" s="8" t="s">
        <v>190</v>
      </c>
    </row>
    <row r="19" spans="1:6" x14ac:dyDescent="0.25">
      <c r="A19" s="8" t="s">
        <v>921</v>
      </c>
      <c r="B19" s="8" t="s">
        <v>592</v>
      </c>
      <c r="C19" s="8" t="s">
        <v>922</v>
      </c>
      <c r="D19" s="8" t="s">
        <v>923</v>
      </c>
      <c r="E19" s="8" t="s">
        <v>46</v>
      </c>
      <c r="F19" s="8" t="s">
        <v>314</v>
      </c>
    </row>
    <row r="20" spans="1:6" x14ac:dyDescent="0.25">
      <c r="A20" s="8" t="s">
        <v>924</v>
      </c>
      <c r="B20" s="8" t="s">
        <v>42</v>
      </c>
      <c r="C20" s="8" t="s">
        <v>925</v>
      </c>
      <c r="D20" s="8" t="s">
        <v>926</v>
      </c>
      <c r="E20" s="8" t="s">
        <v>46</v>
      </c>
      <c r="F20" s="8" t="s">
        <v>718</v>
      </c>
    </row>
    <row r="21" spans="1:6" x14ac:dyDescent="0.25">
      <c r="A21" s="8" t="s">
        <v>927</v>
      </c>
      <c r="B21" s="8" t="s">
        <v>688</v>
      </c>
      <c r="C21" s="8" t="s">
        <v>928</v>
      </c>
      <c r="D21" s="8" t="s">
        <v>929</v>
      </c>
      <c r="E21" s="8" t="s">
        <v>46</v>
      </c>
      <c r="F21" s="8" t="s">
        <v>687</v>
      </c>
    </row>
  </sheetData>
  <autoFilter ref="A1:F1"/>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Test Cases</vt:lpstr>
      <vt:lpstr>Number Reconciliation</vt:lpstr>
      <vt:lpstr>Dropdown Matrix</vt:lpstr>
      <vt:lpstr>Observations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dc:creator>
  <dc:title/>
  <dc:subject/>
  <dc:description/>
  <cp:keywords/>
  <cp:category/>
  <cp:lastModifiedBy>Unknown</cp:lastModifiedBy>
  <dcterms:created xsi:type="dcterms:W3CDTF">2026-10-16T18:27:33Z</dcterms:created>
  <dcterms:modified xsi:type="dcterms:W3CDTF">2026-10-16T18:27:33Z</dcterms:modified>
</cp:coreProperties>
</file>