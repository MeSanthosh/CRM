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Observations" state="visible" r:id="rId6"/>
  </sheets>
  <calcPr calcId="171027" fullCalcOnLoad="1"/>
</workbook>
</file>

<file path=xl/sharedStrings.xml><?xml version="1.0" encoding="utf-8"?>
<sst xmlns="http://schemas.openxmlformats.org/spreadsheetml/2006/main" count="342" uniqueCount="160">
  <si>
    <t>Brokers &amp; Channels — Test Cases</t>
  </si>
  <si>
    <t>Page</t>
  </si>
  <si>
    <t>https://qa-crm.asquareab.com/brokers-channels (Channel Management hub)</t>
  </si>
  <si>
    <t>Build</t>
  </si>
  <si>
    <t>v1.0 1910-49</t>
  </si>
  <si>
    <t>Explored on</t>
  </si>
  <si>
    <t>23-Oct-2026 (CRM Administrator, QA data)</t>
  </si>
  <si>
    <t>Scope</t>
  </si>
  <si>
    <t>Page and status summary; live signals (broker counts, lead sources, capture channels, registered brokers) checked against Customers &amp; Brokers and the Leads export; module menu (statuses, links, planned modules); access control</t>
  </si>
  <si>
    <t>How to use</t>
  </si>
  <si>
    <t>Fill "Status" (Not Started / Pass / Fail / Blocked / Not Applicable) and "Remarks" on the Test Cases sheet; the counts below update automatically.</t>
  </si>
  <si>
    <t>Automation</t>
  </si>
  <si>
    <t>Every test case is automated in tests/brokers-channels/ ("Automated in" column); test names, steps and expected results come from this sheet. Run: npm run test:brokers-channels. The page only reads data, so the tests change nothing on QA.</t>
  </si>
  <si>
    <t>Last run</t>
  </si>
  <si>
    <t>22-Oct-2026 15:15, build v1.0 1910-49 — automated (tests/brokers-channels): 18 passed, 1 failed. Defect report: reports/CRM_Defect_Report_2026-10-22_1515.xlsx</t>
  </si>
  <si>
    <t>By area</t>
  </si>
  <si>
    <t>Test cases</t>
  </si>
  <si>
    <t>High</t>
  </si>
  <si>
    <t>Pass</t>
  </si>
  <si>
    <t>Fail</t>
  </si>
  <si>
    <t>Signals</t>
  </si>
  <si>
    <t>Module menu</t>
  </si>
  <si>
    <t>Access</t>
  </si>
  <si>
    <t>Total</t>
  </si>
  <si>
    <t>By type</t>
  </si>
  <si>
    <t>Navigation</t>
  </si>
  <si>
    <t>UI</t>
  </si>
  <si>
    <t>Functional</t>
  </si>
  <si>
    <t>Negative</t>
  </si>
  <si>
    <t>Data</t>
  </si>
  <si>
    <t>Security</t>
  </si>
  <si>
    <t>By priority</t>
  </si>
  <si>
    <t>Medium</t>
  </si>
  <si>
    <t>Low</t>
  </si>
  <si>
    <t>Execution status</t>
  </si>
  <si>
    <t>Not Started</t>
  </si>
  <si>
    <t>Blocked</t>
  </si>
  <si>
    <t>Not Applicable</t>
  </si>
  <si>
    <t>Observations</t>
  </si>
  <si>
    <t>TC ID</t>
  </si>
  <si>
    <t>Area</t>
  </si>
  <si>
    <t>Component</t>
  </si>
  <si>
    <t>Test Case</t>
  </si>
  <si>
    <t>Preconditions</t>
  </si>
  <si>
    <t>Test Steps</t>
  </si>
  <si>
    <t>Test Data</t>
  </si>
  <si>
    <t>Expected Result</t>
  </si>
  <si>
    <t>Observed (automated run, build v1.0 1910-49)</t>
  </si>
  <si>
    <t>Type</t>
  </si>
  <si>
    <t>Priority</t>
  </si>
  <si>
    <t>Status</t>
  </si>
  <si>
    <t>Remarks</t>
  </si>
  <si>
    <t>Automated in</t>
  </si>
  <si>
    <t>BC-001</t>
  </si>
  <si>
    <t>Brokers &amp; Channels opens from the side menu</t>
  </si>
  <si>
    <t>Logged in as CRM Administrator</t>
  </si>
  <si>
    <t xml:space="preserve">1. Open Home / Dashboard (/)
2. Click "Brokers &amp; Channels" in the main menu</t>
  </si>
  <si>
    <t/>
  </si>
  <si>
    <t>URL is /brokers-channels; eyebrow "CHANNEL MANAGEMENT", heading "Brokers &amp; Channels", "All amounts in USD" and the intro "Broker register, attribution, channel performance, and commission tracking."</t>
  </si>
  <si>
    <t>As expected</t>
  </si>
  <si>
    <t>tests/brokers-channels/hub.spec.ts</t>
  </si>
  <si>
    <t>BC-002</t>
  </si>
  <si>
    <t>Page loads without errors</t>
  </si>
  <si>
    <t xml:space="preserve">1. Open /brokers-channels
2. Check the browser console and network log</t>
  </si>
  <si>
    <t>Sections "Live broker &amp; channel signals" and "Module menu" are shown; no JavaScript errors, failed API calls, NaN or undefined</t>
  </si>
  <si>
    <t>BC-003</t>
  </si>
  <si>
    <t>Status summary</t>
  </si>
  <si>
    <t>Status summary matches the module cards</t>
  </si>
  <si>
    <t xml:space="preserve">1. Open /brokers-channels
2. Read "N LIVE · N PARTIAL · N PLANNED" at the top right
3. Count the module cards by status</t>
  </si>
  <si>
    <t>Each count equals the number of module cards with that status (2 Live, 5 Partial, 3 Planned at the time of writing)</t>
  </si>
  <si>
    <t>BC-004</t>
  </si>
  <si>
    <t>Cards</t>
  </si>
  <si>
    <t>Signal cards show loaded values</t>
  </si>
  <si>
    <t xml:space="preserve">1. Open /brokers-channels
2. Read Active Brokers, Total Brokers, Lead Sources (this month), Capture Channels (this month)</t>
  </si>
  <si>
    <t>Every card shows a number; Active Brokers ≤ Total Brokers</t>
  </si>
  <si>
    <t>BC-005</t>
  </si>
  <si>
    <t>Total Brokers equals the Broker Register</t>
  </si>
  <si>
    <t xml:space="preserve">1. Read Total Brokers
2. Open Customers &amp; Brokers; read the Brokers card and the Broker Register total</t>
  </si>
  <si>
    <t>Total Brokers = Brokers card = Broker Register total</t>
  </si>
  <si>
    <t>BC-006</t>
  </si>
  <si>
    <t>Active Brokers counts the active brokers</t>
  </si>
  <si>
    <t xml:space="preserve">1. Read Active Brokers
2. Open Customers &amp; Brokers; read Active Brokers and count ACTIVE rows in the Broker Register</t>
  </si>
  <si>
    <t>Active Brokers = Active Brokers card on Customers &amp; Brokers = brokers with status ACTIVE</t>
  </si>
  <si>
    <t>BC-007</t>
  </si>
  <si>
    <t>Lead Sources (this month) counts this month's sources</t>
  </si>
  <si>
    <t xml:space="preserve">1. Read Lead Sources (this month)
2. Export the Leads list; keep leads created this month
3. Count the different Source values (ignoring blanks)</t>
  </si>
  <si>
    <t>Leads export, Created At in the current month</t>
  </si>
  <si>
    <t>Lead Sources (this month) = number of different lead sources among this month's leads</t>
  </si>
  <si>
    <t>BC-008</t>
  </si>
  <si>
    <t>Top capture channels</t>
  </si>
  <si>
    <t>Capture Channels (this month) counts the channels listed</t>
  </si>
  <si>
    <t xml:space="preserve">1. Read Capture Channels (this month)
2. Count the rows under "Top capture channels"</t>
  </si>
  <si>
    <t>Capture Channels (this month) = number of rows in Top capture channels</t>
  </si>
  <si>
    <t>1 row ("Not specified") = Capture Channels 1 (OBS-03)</t>
  </si>
  <si>
    <t>BC-009</t>
  </si>
  <si>
    <t>Top capture channels add up to this month's leads</t>
  </si>
  <si>
    <t xml:space="preserve">1. Read each "N leads" under Top capture channels
2. Export the Leads list; count leads created this month</t>
  </si>
  <si>
    <t>Every row reads "&lt;channel&gt; · N leads"; the rows add up to the number of leads created this month</t>
  </si>
  <si>
    <t>"Not specified · 310 leads" = 310 leads created this month (OBS-03)</t>
  </si>
  <si>
    <t>BC-010</t>
  </si>
  <si>
    <t>Registered brokers</t>
  </si>
  <si>
    <t>Registered brokers lists the newest brokers</t>
  </si>
  <si>
    <t xml:space="preserve">1. Read the names and codes under "Registered brokers"
2. Open the Broker Register (newest first)</t>
  </si>
  <si>
    <t>The list shows the 5 newest brokers of the Broker Register, in the same order, each with its BRK-… code</t>
  </si>
  <si>
    <t>BC-011</t>
  </si>
  <si>
    <t>Open Broker Register opens the Brokers tab</t>
  </si>
  <si>
    <t>1. Click "Open Broker Register"</t>
  </si>
  <si>
    <t>Customers &amp; Brokers opens on the Brokers tab (/customers?tab=brokers) showing the Broker Register</t>
  </si>
  <si>
    <t>BC-012</t>
  </si>
  <si>
    <t>Module menu lists the broker and channel modules</t>
  </si>
  <si>
    <t xml:space="preserve">1. Open /brokers-channels
2. Read the Module menu cards</t>
  </si>
  <si>
    <t>Cards: Broker Register (Live), Broker Portal (Planned), Broker Leads (Partial), Broker Attribution (Partial), Broker Performance (Planned), Broker Reservations (Partial), Broker SPAs (Partial), Broker Commission Status (Partial), Channel Performance (Live), Broker Documents (Planned), each with its description</t>
  </si>
  <si>
    <t>BC-013</t>
  </si>
  <si>
    <t>Available modules open; planned ones say so</t>
  </si>
  <si>
    <t>1. Look at each card's footer and whether it is a link</t>
  </si>
  <si>
    <t>Live and Partial cards are links ending "Open module →"; Planned cards are not links and say "Development in progress"</t>
  </si>
  <si>
    <t>BC-014</t>
  </si>
  <si>
    <t>Module links open working pages</t>
  </si>
  <si>
    <t>1. Click each Live / Partial card in turn (back to Brokers &amp; Channels in between)</t>
  </si>
  <si>
    <t>Broker Register and Broker Commission Status open Customers &amp; Brokers on the Brokers tab; Broker Leads and Broker Attribution open Leads; Broker Reservations opens Unit Reservations; Broker SPAs opens SPA / Sales Contracts — each without errors</t>
  </si>
  <si>
    <t>All six links open working pages; they are not filtered to brokers (OBS-02)</t>
  </si>
  <si>
    <t>BC-015</t>
  </si>
  <si>
    <t>Channel Performance opens the channel comparison</t>
  </si>
  <si>
    <t>1. Click the Channel Performance card</t>
  </si>
  <si>
    <t>A page comparing lead sources and capture channels opens (the card is marked Live)</t>
  </si>
  <si>
    <t>Opens / (the default Commercial / Sales dashboard); no lead-source or capture-channel comparison appears (OBS-01)</t>
  </si>
  <si>
    <t>BC-016</t>
  </si>
  <si>
    <t>Planned modules cannot be opened</t>
  </si>
  <si>
    <t>1. Click each Planned card (Broker Portal, Broker Performance, Broker Documents)</t>
  </si>
  <si>
    <t>Nothing opens; the page stays on /brokers-channels</t>
  </si>
  <si>
    <t>BC-017</t>
  </si>
  <si>
    <t>Signed-out user is sent to the login page</t>
  </si>
  <si>
    <t>Not logged in (new browser session)</t>
  </si>
  <si>
    <t>1. Open /brokers-channels</t>
  </si>
  <si>
    <t>Redirected to /login; no broker or channel data shown</t>
  </si>
  <si>
    <t>BC-018</t>
  </si>
  <si>
    <t>API</t>
  </si>
  <si>
    <t>Backend rejects the page's data requests without a login</t>
  </si>
  <si>
    <t>None (requests sent without a login)</t>
  </si>
  <si>
    <t>1. Send GET /brokers and GET /dashboard/summary?period=this_month&amp;view=audience without a token, and with an invalid token</t>
  </si>
  <si>
    <t>Every call returns 401</t>
  </si>
  <si>
    <t>Obs ID</t>
  </si>
  <si>
    <t>Observation</t>
  </si>
  <si>
    <t>Expected / Question</t>
  </si>
  <si>
    <t>Suggested severity</t>
  </si>
  <si>
    <t>Related TC</t>
  </si>
  <si>
    <t>OBS-01</t>
  </si>
  <si>
    <t>Channel Performance is marked LIVE but its card links to "/", which opens the default Home dashboard (Commercial / Sales) — no lead-source or capture-channel comparison is shown.</t>
  </si>
  <si>
    <t>Link the card to the channel comparison (e.g. the Lead Dashboard view or Lead Reports › Source &amp; Channel).</t>
  </si>
  <si>
    <t>OBS-02</t>
  </si>
  <si>
    <t>The Partial broker modules open general pages, not broker views: Broker Leads and Broker Attribution open the full Leads list (no broker filter), Broker Reservations and Broker SPAs open the full registers, and Broker Commission Status opens the Broker Register.</t>
  </si>
  <si>
    <t>Expected while the modules are Partial; open them pre-filtered to broker channels once available.</t>
  </si>
  <si>
    <t>Info</t>
  </si>
  <si>
    <t>OBS-03</t>
  </si>
  <si>
    <t>Top capture channels lists only "Not specified · 310 leads": none of this month's leads has a capture channel recorded.</t>
  </si>
  <si>
    <t>Question: should leads record their capture channel (web form, WhatsApp, walk-in …)?</t>
  </si>
  <si>
    <t>BC-008, BC-009</t>
  </si>
  <si>
    <t>OBS-04</t>
  </si>
  <si>
    <t>The Leads export has no capture-channel column, so the channel split cannot be checked outside this page (only the total).</t>
  </si>
  <si>
    <t>Add Capture Channel to the Leads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</si>
</sst>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Arial"/>
    </font>
    <font>
      <b/>
      <sz val="10"/>
      <name val="Arial"/>
    </font>
    <font>
      <sz val="10"/>
      <name val="Arial"/>
    </font>
    <font>
      <b/>
      <color rgb="FFFFFFFF"/>
      <sz val="10"/>
      <name val="Arial"/>
    </font>
  </fonts>
  <fills count="3">
    <fill>
      <patternFill patternType="none"/>
    </fill>
    <fill>
      <patternFill patternType="gray125"/>
    </fill>
    <fill>
      <patternFill patternType="solid">
        <fgColor rgb="FF12465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xf numFmtId="0" fontId="3" fillId="0" borderId="1" xfId="0" applyFont="1" applyBorder="1"/>
    <xf numFmtId="0" fontId="2" fillId="0" borderId="1" xfId="0" applyFont="1" applyBorder="1"/>
    <xf numFmtId="0" fontId="4" fillId="2" borderId="1" xfId="0" applyFont="1" applyFill="1" applyBorder="1" applyAlignment="1">
      <alignment vertical="center" wrapText="1"/>
    </xf>
    <xf numFmtId="0" fontId="3" fillId="0" borderId="1" xfId="0" applyFont="1" applyBorder="1" applyAlignment="1">
      <alignment vertical="top" wrapText="1"/>
    </xf>
  </cellXfs>
  <cellStyles count="1">
    <cellStyle name="Normal" xfId="0" builtinId="0"/>
  </cellStyles>
  <dxfs count="3">
    <dxf>
      <fill>
        <patternFill patternType="solid">
          <bgColor rgb="FFC6EFCE"/>
        </patternFill>
      </fill>
    </dxf>
    <dxf>
      <fill>
        <patternFill patternType="solid">
          <bgColor rgb="FFFFC7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FormatPr defaultRowHeight="15" outlineLevelRow="0" outlineLevelCol="0" x14ac:dyDescent="55"/>
  <cols>
    <col min="1" max="1" width="32" customWidth="1"/>
    <col min="2" max="2" width="70" customWidth="1"/>
    <col min="3" max="5" width="10" customWidth="1"/>
  </cols>
  <sheetData>
    <row r="1" spans="1: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1" spans="1:5" x14ac:dyDescent="0.25">
      <c r="A11" s="4" t="s">
        <v>15</v>
      </c>
      <c r="B11" s="4" t="s">
        <v>16</v>
      </c>
      <c r="C11" s="4" t="s">
        <v>17</v>
      </c>
      <c r="D11" s="4" t="s">
        <v>18</v>
      </c>
      <c r="E11" s="4" t="s">
        <v>19</v>
      </c>
    </row>
    <row r="12" spans="1:5" x14ac:dyDescent="0.25">
      <c r="A12" s="5" t="s">
        <v>1</v>
      </c>
      <c r="B12" s="5">
        <f>COUNTIF('Test Cases'!$B$2:$B$19,A12)</f>
        <v>3</v>
      </c>
      <c r="C12" s="5">
        <f>COUNTIFS('Test Cases'!$B$2:$B$19,A12,'Test Cases'!$K$2:$K$19,"High")</f>
        <v>2</v>
      </c>
      <c r="D12" s="5">
        <f>COUNTIFS('Test Cases'!$B$2:$B$19,A12,'Test Cases'!$L$2:$L$19,"Pass")</f>
        <v>3</v>
      </c>
      <c r="E12" s="5">
        <f>COUNTIFS('Test Cases'!$B$2:$B$19,A12,'Test Cases'!$L$2:$L$19,"Fail")</f>
        <v>0</v>
      </c>
    </row>
    <row r="13" spans="1:5" x14ac:dyDescent="0.25">
      <c r="A13" s="5" t="s">
        <v>20</v>
      </c>
      <c r="B13" s="5">
        <f>COUNTIF('Test Cases'!$B$2:$B$19,A13)</f>
        <v>8</v>
      </c>
      <c r="C13" s="5">
        <f>COUNTIFS('Test Cases'!$B$2:$B$19,A13,'Test Cases'!$K$2:$K$19,"High")</f>
        <v>7</v>
      </c>
      <c r="D13" s="5">
        <f>COUNTIFS('Test Cases'!$B$2:$B$19,A13,'Test Cases'!$L$2:$L$19,"Pass")</f>
        <v>8</v>
      </c>
      <c r="E13" s="5">
        <f>COUNTIFS('Test Cases'!$B$2:$B$19,A13,'Test Cases'!$L$2:$L$19,"Fail")</f>
        <v>0</v>
      </c>
    </row>
    <row r="14" spans="1:5" x14ac:dyDescent="0.25">
      <c r="A14" s="5" t="s">
        <v>21</v>
      </c>
      <c r="B14" s="5">
        <f>COUNTIF('Test Cases'!$B$2:$B$19,A14)</f>
        <v>5</v>
      </c>
      <c r="C14" s="5">
        <f>COUNTIFS('Test Cases'!$B$2:$B$19,A14,'Test Cases'!$K$2:$K$19,"High")</f>
        <v>4</v>
      </c>
      <c r="D14" s="5">
        <f>COUNTIFS('Test Cases'!$B$2:$B$19,A14,'Test Cases'!$L$2:$L$19,"Pass")</f>
        <v>4</v>
      </c>
      <c r="E14" s="5">
        <f>COUNTIFS('Test Cases'!$B$2:$B$19,A14,'Test Cases'!$L$2:$L$19,"Fail")</f>
        <v>1</v>
      </c>
    </row>
    <row r="15" spans="1:5" x14ac:dyDescent="0.25">
      <c r="A15" s="5" t="s">
        <v>22</v>
      </c>
      <c r="B15" s="5">
        <f>COUNTIF('Test Cases'!$B$2:$B$19,A15)</f>
        <v>2</v>
      </c>
      <c r="C15" s="5">
        <f>COUNTIFS('Test Cases'!$B$2:$B$19,A15,'Test Cases'!$K$2:$K$19,"High")</f>
        <v>2</v>
      </c>
      <c r="D15" s="5">
        <f>COUNTIFS('Test Cases'!$B$2:$B$19,A15,'Test Cases'!$L$2:$L$19,"Pass")</f>
        <v>2</v>
      </c>
      <c r="E15" s="5">
        <f>COUNTIFS('Test Cases'!$B$2:$B$19,A15,'Test Cases'!$L$2:$L$19,"Fail")</f>
        <v>0</v>
      </c>
    </row>
    <row r="16" spans="1:5" x14ac:dyDescent="0.25">
      <c r="A16" s="6" t="s">
        <v>23</v>
      </c>
      <c r="B16" s="5">
        <f>SUM(B12:B15)</f>
        <v>18</v>
      </c>
      <c r="C16" s="5">
        <f>SUM(C12:C15)</f>
        <v>15</v>
      </c>
      <c r="D16" s="5">
        <f>SUM(D12:D15)</f>
        <v>17</v>
      </c>
      <c r="E16" s="5">
        <f>SUM(E12:E15)</f>
        <v>1</v>
      </c>
    </row>
    <row r="18" spans="1:2" x14ac:dyDescent="0.25">
      <c r="A18" s="4" t="s">
        <v>24</v>
      </c>
      <c r="B18" s="4" t="s">
        <v>16</v>
      </c>
    </row>
    <row r="19" spans="1:2" x14ac:dyDescent="0.25">
      <c r="A19" s="5" t="s">
        <v>25</v>
      </c>
      <c r="B19" s="5">
        <f>COUNTIF('Test Cases'!$J$2:$J$19,A19)</f>
        <v>4</v>
      </c>
    </row>
    <row r="20" spans="1:2" x14ac:dyDescent="0.25">
      <c r="A20" s="5" t="s">
        <v>26</v>
      </c>
      <c r="B20" s="5">
        <f>COUNTIF('Test Cases'!$J$2:$J$19,A20)</f>
        <v>3</v>
      </c>
    </row>
    <row r="21" spans="1:2" x14ac:dyDescent="0.25">
      <c r="A21" s="5" t="s">
        <v>27</v>
      </c>
      <c r="B21" s="5">
        <f>COUNTIF('Test Cases'!$J$2:$J$19,A21)</f>
        <v>1</v>
      </c>
    </row>
    <row r="22" spans="1:2" x14ac:dyDescent="0.25">
      <c r="A22" s="5" t="s">
        <v>28</v>
      </c>
      <c r="B22" s="5">
        <f>COUNTIF('Test Cases'!$J$2:$J$19,A22)</f>
        <v>1</v>
      </c>
    </row>
    <row r="23" spans="1:2" x14ac:dyDescent="0.25">
      <c r="A23" s="5" t="s">
        <v>29</v>
      </c>
      <c r="B23" s="5">
        <f>COUNTIF('Test Cases'!$J$2:$J$19,A23)</f>
        <v>7</v>
      </c>
    </row>
    <row r="24" spans="1:2" x14ac:dyDescent="0.25">
      <c r="A24" s="5" t="s">
        <v>30</v>
      </c>
      <c r="B24" s="5">
        <f>COUNTIF('Test Cases'!$J$2:$J$19,A24)</f>
        <v>2</v>
      </c>
    </row>
    <row r="26" spans="1:2" x14ac:dyDescent="0.25">
      <c r="A26" s="4" t="s">
        <v>31</v>
      </c>
      <c r="B26" s="4" t="s">
        <v>16</v>
      </c>
    </row>
    <row r="27" spans="1:2" x14ac:dyDescent="0.25">
      <c r="A27" s="5" t="s">
        <v>17</v>
      </c>
      <c r="B27" s="5">
        <f>COUNTIF('Test Cases'!$K$2:$K$19,A27)</f>
        <v>15</v>
      </c>
    </row>
    <row r="28" spans="1:2" x14ac:dyDescent="0.25">
      <c r="A28" s="5" t="s">
        <v>32</v>
      </c>
      <c r="B28" s="5">
        <f>COUNTIF('Test Cases'!$K$2:$K$19,A28)</f>
        <v>3</v>
      </c>
    </row>
    <row r="29" spans="1:2" x14ac:dyDescent="0.25">
      <c r="A29" s="5" t="s">
        <v>33</v>
      </c>
      <c r="B29" s="5">
        <f>COUNTIF('Test Cases'!$K$2:$K$19,A29)</f>
        <v>0</v>
      </c>
    </row>
    <row r="31" spans="1:2" x14ac:dyDescent="0.25">
      <c r="A31" s="4" t="s">
        <v>34</v>
      </c>
      <c r="B31" s="4" t="s">
        <v>16</v>
      </c>
    </row>
    <row r="32" spans="1:2" x14ac:dyDescent="0.25">
      <c r="A32" s="5" t="s">
        <v>35</v>
      </c>
      <c r="B32" s="5">
        <f>COUNTIF('Test Cases'!$L$2:$L$19,A32)</f>
        <v>0</v>
      </c>
    </row>
    <row r="33" spans="1:2" x14ac:dyDescent="0.25">
      <c r="A33" s="5" t="s">
        <v>18</v>
      </c>
      <c r="B33" s="5">
        <f>COUNTIF('Test Cases'!$L$2:$L$19,A33)</f>
        <v>17</v>
      </c>
    </row>
    <row r="34" spans="1:2" x14ac:dyDescent="0.25">
      <c r="A34" s="5" t="s">
        <v>19</v>
      </c>
      <c r="B34" s="5">
        <f>COUNTIF('Test Cases'!$L$2:$L$19,A34)</f>
        <v>1</v>
      </c>
    </row>
    <row r="35" spans="1:2" x14ac:dyDescent="0.25">
      <c r="A35" s="5" t="s">
        <v>36</v>
      </c>
      <c r="B35" s="5">
        <f>COUNTIF('Test Cases'!$L$2:$L$19,A35)</f>
        <v>0</v>
      </c>
    </row>
    <row r="36" spans="1:2" x14ac:dyDescent="0.25">
      <c r="A36" s="5" t="s">
        <v>37</v>
      </c>
      <c r="B36" s="5">
        <f>COUNTIF('Test Cases'!$L$2:$L$19,A36)</f>
        <v>0</v>
      </c>
    </row>
    <row r="38" spans="1:2" x14ac:dyDescent="0.25">
      <c r="A38" s="6" t="s">
        <v>38</v>
      </c>
      <c r="B38" s="5">
        <f>COUNTA(Observations!$A$2:$A5)</f>
        <v>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
  <sheetViews>
    <sheetView workbookViewId="0">
      <pane xSplit="4" ySplit="1" topLeftCell="E2" activePane="bottomRight" state="frozen"/>
      <selection pane="bottomRight"/>
    </sheetView>
  </sheetViews>
  <sheetFormatPr defaultRowHeight="15" outlineLevelRow="0" outlineLevelCol="0" x14ac:dyDescent="55"/>
  <cols>
    <col min="1" max="1" width="10" customWidth="1"/>
    <col min="2" max="2" width="14" customWidth="1"/>
    <col min="3" max="3" width="18" customWidth="1"/>
    <col min="4" max="4" width="38" customWidth="1"/>
    <col min="5" max="5" width="30" customWidth="1"/>
    <col min="6" max="6" width="48" customWidth="1"/>
    <col min="7" max="7" width="24" customWidth="1"/>
    <col min="8" max="8" width="52" customWidth="1"/>
    <col min="9" max="9" width="44" customWidth="1"/>
    <col min="10" max="10" width="12" customWidth="1"/>
    <col min="11" max="11" width="10" customWidth="1"/>
    <col min="12" max="12" width="12" customWidth="1"/>
    <col min="13" max="13" width="30" customWidth="1"/>
    <col min="14" max="14" width="24" customWidth="1"/>
  </cols>
  <sheetData>
    <row r="1" ht="30" customHeight="1" spans="1:14" x14ac:dyDescent="0.25">
      <c r="A1" s="7" t="s">
        <v>39</v>
      </c>
      <c r="B1" s="7" t="s">
        <v>40</v>
      </c>
      <c r="C1" s="7" t="s">
        <v>41</v>
      </c>
      <c r="D1" s="7" t="s">
        <v>42</v>
      </c>
      <c r="E1" s="7" t="s">
        <v>43</v>
      </c>
      <c r="F1" s="7" t="s">
        <v>44</v>
      </c>
      <c r="G1" s="7" t="s">
        <v>45</v>
      </c>
      <c r="H1" s="7" t="s">
        <v>46</v>
      </c>
      <c r="I1" s="7" t="s">
        <v>47</v>
      </c>
      <c r="J1" s="7" t="s">
        <v>48</v>
      </c>
      <c r="K1" s="7" t="s">
        <v>49</v>
      </c>
      <c r="L1" s="7" t="s">
        <v>50</v>
      </c>
      <c r="M1" s="7" t="s">
        <v>51</v>
      </c>
      <c r="N1" s="7" t="s">
        <v>52</v>
      </c>
    </row>
    <row r="2" spans="1:14" x14ac:dyDescent="0.25">
      <c r="A2" s="8" t="s">
        <v>53</v>
      </c>
      <c r="B2" s="8" t="s">
        <v>1</v>
      </c>
      <c r="C2" s="8" t="s">
        <v>25</v>
      </c>
      <c r="D2" s="8" t="s">
        <v>54</v>
      </c>
      <c r="E2" s="8" t="s">
        <v>55</v>
      </c>
      <c r="F2" s="8" t="s">
        <v>56</v>
      </c>
      <c r="G2" s="8" t="s">
        <v>57</v>
      </c>
      <c r="H2" s="8" t="s">
        <v>58</v>
      </c>
      <c r="I2" s="8" t="s">
        <v>59</v>
      </c>
      <c r="J2" s="8" t="s">
        <v>25</v>
      </c>
      <c r="K2" s="8" t="s">
        <v>17</v>
      </c>
      <c r="L2" s="8" t="s">
        <v>18</v>
      </c>
      <c r="M2" s="8" t="s">
        <v>57</v>
      </c>
      <c r="N2" s="8" t="s">
        <v>60</v>
      </c>
    </row>
    <row r="3" spans="1:14" x14ac:dyDescent="0.25">
      <c r="A3" s="8" t="s">
        <v>61</v>
      </c>
      <c r="B3" s="8" t="s">
        <v>1</v>
      </c>
      <c r="C3" s="8" t="s">
        <v>1</v>
      </c>
      <c r="D3" s="8" t="s">
        <v>62</v>
      </c>
      <c r="E3" s="8" t="s">
        <v>55</v>
      </c>
      <c r="F3" s="8" t="s">
        <v>63</v>
      </c>
      <c r="G3" s="8" t="s">
        <v>57</v>
      </c>
      <c r="H3" s="8" t="s">
        <v>64</v>
      </c>
      <c r="I3" s="8" t="s">
        <v>59</v>
      </c>
      <c r="J3" s="8" t="s">
        <v>26</v>
      </c>
      <c r="K3" s="8" t="s">
        <v>17</v>
      </c>
      <c r="L3" s="8" t="s">
        <v>18</v>
      </c>
      <c r="M3" s="8" t="s">
        <v>57</v>
      </c>
      <c r="N3" s="8" t="s">
        <v>60</v>
      </c>
    </row>
    <row r="4" spans="1:14" x14ac:dyDescent="0.25">
      <c r="A4" s="8" t="s">
        <v>65</v>
      </c>
      <c r="B4" s="8" t="s">
        <v>1</v>
      </c>
      <c r="C4" s="8" t="s">
        <v>66</v>
      </c>
      <c r="D4" s="8" t="s">
        <v>67</v>
      </c>
      <c r="E4" s="8" t="s">
        <v>55</v>
      </c>
      <c r="F4" s="8" t="s">
        <v>68</v>
      </c>
      <c r="G4" s="8" t="s">
        <v>57</v>
      </c>
      <c r="H4" s="8" t="s">
        <v>69</v>
      </c>
      <c r="I4" s="8" t="s">
        <v>59</v>
      </c>
      <c r="J4" s="8" t="s">
        <v>29</v>
      </c>
      <c r="K4" s="8" t="s">
        <v>32</v>
      </c>
      <c r="L4" s="8" t="s">
        <v>18</v>
      </c>
      <c r="M4" s="8" t="s">
        <v>57</v>
      </c>
      <c r="N4" s="8" t="s">
        <v>60</v>
      </c>
    </row>
    <row r="5" spans="1:14" x14ac:dyDescent="0.25">
      <c r="A5" s="8" t="s">
        <v>70</v>
      </c>
      <c r="B5" s="8" t="s">
        <v>20</v>
      </c>
      <c r="C5" s="8" t="s">
        <v>71</v>
      </c>
      <c r="D5" s="8" t="s">
        <v>72</v>
      </c>
      <c r="E5" s="8" t="s">
        <v>55</v>
      </c>
      <c r="F5" s="8" t="s">
        <v>73</v>
      </c>
      <c r="G5" s="8" t="s">
        <v>57</v>
      </c>
      <c r="H5" s="8" t="s">
        <v>74</v>
      </c>
      <c r="I5" s="8" t="s">
        <v>59</v>
      </c>
      <c r="J5" s="8" t="s">
        <v>26</v>
      </c>
      <c r="K5" s="8" t="s">
        <v>17</v>
      </c>
      <c r="L5" s="8" t="s">
        <v>18</v>
      </c>
      <c r="M5" s="8" t="s">
        <v>57</v>
      </c>
      <c r="N5" s="8" t="s">
        <v>60</v>
      </c>
    </row>
    <row r="6" spans="1:14" x14ac:dyDescent="0.25">
      <c r="A6" s="8" t="s">
        <v>75</v>
      </c>
      <c r="B6" s="8" t="s">
        <v>20</v>
      </c>
      <c r="C6" s="8" t="s">
        <v>71</v>
      </c>
      <c r="D6" s="8" t="s">
        <v>76</v>
      </c>
      <c r="E6" s="8" t="s">
        <v>55</v>
      </c>
      <c r="F6" s="8" t="s">
        <v>77</v>
      </c>
      <c r="G6" s="8" t="s">
        <v>57</v>
      </c>
      <c r="H6" s="8" t="s">
        <v>78</v>
      </c>
      <c r="I6" s="8" t="s">
        <v>59</v>
      </c>
      <c r="J6" s="8" t="s">
        <v>29</v>
      </c>
      <c r="K6" s="8" t="s">
        <v>17</v>
      </c>
      <c r="L6" s="8" t="s">
        <v>18</v>
      </c>
      <c r="M6" s="8" t="s">
        <v>57</v>
      </c>
      <c r="N6" s="8" t="s">
        <v>60</v>
      </c>
    </row>
    <row r="7" spans="1:14" x14ac:dyDescent="0.25">
      <c r="A7" s="8" t="s">
        <v>79</v>
      </c>
      <c r="B7" s="8" t="s">
        <v>20</v>
      </c>
      <c r="C7" s="8" t="s">
        <v>71</v>
      </c>
      <c r="D7" s="8" t="s">
        <v>80</v>
      </c>
      <c r="E7" s="8" t="s">
        <v>55</v>
      </c>
      <c r="F7" s="8" t="s">
        <v>81</v>
      </c>
      <c r="G7" s="8" t="s">
        <v>57</v>
      </c>
      <c r="H7" s="8" t="s">
        <v>82</v>
      </c>
      <c r="I7" s="8" t="s">
        <v>59</v>
      </c>
      <c r="J7" s="8" t="s">
        <v>29</v>
      </c>
      <c r="K7" s="8" t="s">
        <v>17</v>
      </c>
      <c r="L7" s="8" t="s">
        <v>18</v>
      </c>
      <c r="M7" s="8" t="s">
        <v>57</v>
      </c>
      <c r="N7" s="8" t="s">
        <v>60</v>
      </c>
    </row>
    <row r="8" spans="1:14" x14ac:dyDescent="0.25">
      <c r="A8" s="8" t="s">
        <v>83</v>
      </c>
      <c r="B8" s="8" t="s">
        <v>20</v>
      </c>
      <c r="C8" s="8" t="s">
        <v>71</v>
      </c>
      <c r="D8" s="8" t="s">
        <v>84</v>
      </c>
      <c r="E8" s="8" t="s">
        <v>55</v>
      </c>
      <c r="F8" s="8" t="s">
        <v>85</v>
      </c>
      <c r="G8" s="8" t="s">
        <v>86</v>
      </c>
      <c r="H8" s="8" t="s">
        <v>87</v>
      </c>
      <c r="I8" s="8" t="s">
        <v>59</v>
      </c>
      <c r="J8" s="8" t="s">
        <v>29</v>
      </c>
      <c r="K8" s="8" t="s">
        <v>17</v>
      </c>
      <c r="L8" s="8" t="s">
        <v>18</v>
      </c>
      <c r="M8" s="8" t="s">
        <v>57</v>
      </c>
      <c r="N8" s="8" t="s">
        <v>60</v>
      </c>
    </row>
    <row r="9" spans="1:14" x14ac:dyDescent="0.25">
      <c r="A9" s="8" t="s">
        <v>88</v>
      </c>
      <c r="B9" s="8" t="s">
        <v>20</v>
      </c>
      <c r="C9" s="8" t="s">
        <v>89</v>
      </c>
      <c r="D9" s="8" t="s">
        <v>90</v>
      </c>
      <c r="E9" s="8" t="s">
        <v>55</v>
      </c>
      <c r="F9" s="8" t="s">
        <v>91</v>
      </c>
      <c r="G9" s="8" t="s">
        <v>57</v>
      </c>
      <c r="H9" s="8" t="s">
        <v>92</v>
      </c>
      <c r="I9" s="8" t="s">
        <v>93</v>
      </c>
      <c r="J9" s="8" t="s">
        <v>29</v>
      </c>
      <c r="K9" s="8" t="s">
        <v>32</v>
      </c>
      <c r="L9" s="8" t="s">
        <v>18</v>
      </c>
      <c r="M9" s="8" t="s">
        <v>57</v>
      </c>
      <c r="N9" s="8" t="s">
        <v>60</v>
      </c>
    </row>
    <row r="10" spans="1:14" x14ac:dyDescent="0.25">
      <c r="A10" s="8" t="s">
        <v>94</v>
      </c>
      <c r="B10" s="8" t="s">
        <v>20</v>
      </c>
      <c r="C10" s="8" t="s">
        <v>89</v>
      </c>
      <c r="D10" s="8" t="s">
        <v>95</v>
      </c>
      <c r="E10" s="8" t="s">
        <v>55</v>
      </c>
      <c r="F10" s="8" t="s">
        <v>96</v>
      </c>
      <c r="G10" s="8" t="s">
        <v>86</v>
      </c>
      <c r="H10" s="8" t="s">
        <v>97</v>
      </c>
      <c r="I10" s="8" t="s">
        <v>98</v>
      </c>
      <c r="J10" s="8" t="s">
        <v>29</v>
      </c>
      <c r="K10" s="8" t="s">
        <v>17</v>
      </c>
      <c r="L10" s="8" t="s">
        <v>18</v>
      </c>
      <c r="M10" s="8" t="s">
        <v>57</v>
      </c>
      <c r="N10" s="8" t="s">
        <v>60</v>
      </c>
    </row>
    <row r="11" spans="1:14" x14ac:dyDescent="0.25">
      <c r="A11" s="8" t="s">
        <v>99</v>
      </c>
      <c r="B11" s="8" t="s">
        <v>20</v>
      </c>
      <c r="C11" s="8" t="s">
        <v>100</v>
      </c>
      <c r="D11" s="8" t="s">
        <v>101</v>
      </c>
      <c r="E11" s="8" t="s">
        <v>55</v>
      </c>
      <c r="F11" s="8" t="s">
        <v>102</v>
      </c>
      <c r="G11" s="8" t="s">
        <v>57</v>
      </c>
      <c r="H11" s="8" t="s">
        <v>103</v>
      </c>
      <c r="I11" s="8" t="s">
        <v>59</v>
      </c>
      <c r="J11" s="8" t="s">
        <v>29</v>
      </c>
      <c r="K11" s="8" t="s">
        <v>17</v>
      </c>
      <c r="L11" s="8" t="s">
        <v>18</v>
      </c>
      <c r="M11" s="8" t="s">
        <v>57</v>
      </c>
      <c r="N11" s="8" t="s">
        <v>60</v>
      </c>
    </row>
    <row r="12" spans="1:14" x14ac:dyDescent="0.25">
      <c r="A12" s="8" t="s">
        <v>104</v>
      </c>
      <c r="B12" s="8" t="s">
        <v>20</v>
      </c>
      <c r="C12" s="8" t="s">
        <v>25</v>
      </c>
      <c r="D12" s="8" t="s">
        <v>105</v>
      </c>
      <c r="E12" s="8" t="s">
        <v>55</v>
      </c>
      <c r="F12" s="8" t="s">
        <v>106</v>
      </c>
      <c r="G12" s="8" t="s">
        <v>57</v>
      </c>
      <c r="H12" s="8" t="s">
        <v>107</v>
      </c>
      <c r="I12" s="8" t="s">
        <v>59</v>
      </c>
      <c r="J12" s="8" t="s">
        <v>25</v>
      </c>
      <c r="K12" s="8" t="s">
        <v>17</v>
      </c>
      <c r="L12" s="8" t="s">
        <v>18</v>
      </c>
      <c r="M12" s="8" t="s">
        <v>57</v>
      </c>
      <c r="N12" s="8" t="s">
        <v>60</v>
      </c>
    </row>
    <row r="13" spans="1:14" x14ac:dyDescent="0.25">
      <c r="A13" s="8" t="s">
        <v>108</v>
      </c>
      <c r="B13" s="8" t="s">
        <v>21</v>
      </c>
      <c r="C13" s="8" t="s">
        <v>71</v>
      </c>
      <c r="D13" s="8" t="s">
        <v>109</v>
      </c>
      <c r="E13" s="8" t="s">
        <v>55</v>
      </c>
      <c r="F13" s="8" t="s">
        <v>110</v>
      </c>
      <c r="G13" s="8" t="s">
        <v>57</v>
      </c>
      <c r="H13" s="8" t="s">
        <v>111</v>
      </c>
      <c r="I13" s="8" t="s">
        <v>59</v>
      </c>
      <c r="J13" s="8" t="s">
        <v>26</v>
      </c>
      <c r="K13" s="8" t="s">
        <v>17</v>
      </c>
      <c r="L13" s="8" t="s">
        <v>18</v>
      </c>
      <c r="M13" s="8" t="s">
        <v>57</v>
      </c>
      <c r="N13" s="8" t="s">
        <v>60</v>
      </c>
    </row>
    <row r="14" spans="1:14" x14ac:dyDescent="0.25">
      <c r="A14" s="8" t="s">
        <v>112</v>
      </c>
      <c r="B14" s="8" t="s">
        <v>21</v>
      </c>
      <c r="C14" s="8" t="s">
        <v>71</v>
      </c>
      <c r="D14" s="8" t="s">
        <v>113</v>
      </c>
      <c r="E14" s="8" t="s">
        <v>55</v>
      </c>
      <c r="F14" s="8" t="s">
        <v>114</v>
      </c>
      <c r="G14" s="8" t="s">
        <v>57</v>
      </c>
      <c r="H14" s="8" t="s">
        <v>115</v>
      </c>
      <c r="I14" s="8" t="s">
        <v>59</v>
      </c>
      <c r="J14" s="8" t="s">
        <v>27</v>
      </c>
      <c r="K14" s="8" t="s">
        <v>17</v>
      </c>
      <c r="L14" s="8" t="s">
        <v>18</v>
      </c>
      <c r="M14" s="8" t="s">
        <v>57</v>
      </c>
      <c r="N14" s="8" t="s">
        <v>60</v>
      </c>
    </row>
    <row r="15" spans="1:14" x14ac:dyDescent="0.25">
      <c r="A15" s="8" t="s">
        <v>116</v>
      </c>
      <c r="B15" s="8" t="s">
        <v>21</v>
      </c>
      <c r="C15" s="8" t="s">
        <v>25</v>
      </c>
      <c r="D15" s="8" t="s">
        <v>117</v>
      </c>
      <c r="E15" s="8" t="s">
        <v>55</v>
      </c>
      <c r="F15" s="8" t="s">
        <v>118</v>
      </c>
      <c r="G15" s="8" t="s">
        <v>57</v>
      </c>
      <c r="H15" s="8" t="s">
        <v>119</v>
      </c>
      <c r="I15" s="8" t="s">
        <v>120</v>
      </c>
      <c r="J15" s="8" t="s">
        <v>25</v>
      </c>
      <c r="K15" s="8" t="s">
        <v>17</v>
      </c>
      <c r="L15" s="8" t="s">
        <v>18</v>
      </c>
      <c r="M15" s="8" t="s">
        <v>57</v>
      </c>
      <c r="N15" s="8" t="s">
        <v>60</v>
      </c>
    </row>
    <row r="16" spans="1:14" x14ac:dyDescent="0.25">
      <c r="A16" s="8" t="s">
        <v>121</v>
      </c>
      <c r="B16" s="8" t="s">
        <v>21</v>
      </c>
      <c r="C16" s="8" t="s">
        <v>25</v>
      </c>
      <c r="D16" s="8" t="s">
        <v>122</v>
      </c>
      <c r="E16" s="8" t="s">
        <v>55</v>
      </c>
      <c r="F16" s="8" t="s">
        <v>123</v>
      </c>
      <c r="G16" s="8" t="s">
        <v>57</v>
      </c>
      <c r="H16" s="8" t="s">
        <v>124</v>
      </c>
      <c r="I16" s="8" t="s">
        <v>125</v>
      </c>
      <c r="J16" s="8" t="s">
        <v>25</v>
      </c>
      <c r="K16" s="8" t="s">
        <v>17</v>
      </c>
      <c r="L16" s="8" t="s">
        <v>19</v>
      </c>
      <c r="M16" s="8" t="s">
        <v>57</v>
      </c>
      <c r="N16" s="8" t="s">
        <v>60</v>
      </c>
    </row>
    <row r="17" spans="1:14" x14ac:dyDescent="0.25">
      <c r="A17" s="8" t="s">
        <v>126</v>
      </c>
      <c r="B17" s="8" t="s">
        <v>21</v>
      </c>
      <c r="C17" s="8" t="s">
        <v>71</v>
      </c>
      <c r="D17" s="8" t="s">
        <v>127</v>
      </c>
      <c r="E17" s="8" t="s">
        <v>55</v>
      </c>
      <c r="F17" s="8" t="s">
        <v>128</v>
      </c>
      <c r="G17" s="8" t="s">
        <v>57</v>
      </c>
      <c r="H17" s="8" t="s">
        <v>129</v>
      </c>
      <c r="I17" s="8" t="s">
        <v>59</v>
      </c>
      <c r="J17" s="8" t="s">
        <v>28</v>
      </c>
      <c r="K17" s="8" t="s">
        <v>32</v>
      </c>
      <c r="L17" s="8" t="s">
        <v>18</v>
      </c>
      <c r="M17" s="8" t="s">
        <v>57</v>
      </c>
      <c r="N17" s="8" t="s">
        <v>60</v>
      </c>
    </row>
    <row r="18" spans="1:14" x14ac:dyDescent="0.25">
      <c r="A18" s="8" t="s">
        <v>130</v>
      </c>
      <c r="B18" s="8" t="s">
        <v>22</v>
      </c>
      <c r="C18" s="8" t="s">
        <v>25</v>
      </c>
      <c r="D18" s="8" t="s">
        <v>131</v>
      </c>
      <c r="E18" s="8" t="s">
        <v>132</v>
      </c>
      <c r="F18" s="8" t="s">
        <v>133</v>
      </c>
      <c r="G18" s="8" t="s">
        <v>57</v>
      </c>
      <c r="H18" s="8" t="s">
        <v>134</v>
      </c>
      <c r="I18" s="8" t="s">
        <v>59</v>
      </c>
      <c r="J18" s="8" t="s">
        <v>30</v>
      </c>
      <c r="K18" s="8" t="s">
        <v>17</v>
      </c>
      <c r="L18" s="8" t="s">
        <v>18</v>
      </c>
      <c r="M18" s="8" t="s">
        <v>57</v>
      </c>
      <c r="N18" s="8" t="s">
        <v>60</v>
      </c>
    </row>
    <row r="19" spans="1:14" x14ac:dyDescent="0.25">
      <c r="A19" s="8" t="s">
        <v>135</v>
      </c>
      <c r="B19" s="8" t="s">
        <v>22</v>
      </c>
      <c r="C19" s="8" t="s">
        <v>136</v>
      </c>
      <c r="D19" s="8" t="s">
        <v>137</v>
      </c>
      <c r="E19" s="8" t="s">
        <v>138</v>
      </c>
      <c r="F19" s="8" t="s">
        <v>139</v>
      </c>
      <c r="G19" s="8" t="s">
        <v>57</v>
      </c>
      <c r="H19" s="8" t="s">
        <v>140</v>
      </c>
      <c r="I19" s="8" t="s">
        <v>59</v>
      </c>
      <c r="J19" s="8" t="s">
        <v>30</v>
      </c>
      <c r="K19" s="8" t="s">
        <v>17</v>
      </c>
      <c r="L19" s="8" t="s">
        <v>18</v>
      </c>
      <c r="M19" s="8" t="s">
        <v>57</v>
      </c>
      <c r="N19" s="8" t="s">
        <v>60</v>
      </c>
    </row>
  </sheetData>
  <autoFilter ref="A1:N1"/>
  <conditionalFormatting sqref="L2:L19">
    <cfRule type="containsText" dxfId="0" priority="1">
      <formula>NOT(ISERROR(SEARCH("Pass",L2)))</formula>
    </cfRule>
    <cfRule type="containsText" dxfId="1" priority="2">
      <formula>NOT(ISERROR(SEARCH("Fail",L2)))</formula>
    </cfRule>
    <cfRule type="containsText" dxfId="2" priority="3">
      <formula>NOT(ISERROR(SEARCH("Blocked",L2)))</formula>
    </cfRule>
  </conditionalFormatting>
  <dataValidations count="2">
    <dataValidation type="list" allowBlank="1" sqref="L10:L19">
      <formula1>"Not Started,Pass,Fail,Blocked,Not Applicable"</formula1>
    </dataValidation>
    <dataValidation type="list" allowBlank="1" sqref="L2:L19">
      <formula1>"Not Started,Pass,Fail,Blocked,Not Applicable"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60" customWidth="1"/>
    <col min="4" max="4" width="50" customWidth="1"/>
    <col min="5" max="5" width="12" customWidth="1"/>
    <col min="6" max="6" width="16" customWidth="1"/>
  </cols>
  <sheetData>
    <row r="1" ht="30" customHeight="1" spans="1:6" x14ac:dyDescent="0.25">
      <c r="A1" s="7" t="s">
        <v>141</v>
      </c>
      <c r="B1" s="7" t="s">
        <v>40</v>
      </c>
      <c r="C1" s="7" t="s">
        <v>142</v>
      </c>
      <c r="D1" s="7" t="s">
        <v>143</v>
      </c>
      <c r="E1" s="7" t="s">
        <v>144</v>
      </c>
      <c r="F1" s="7" t="s">
        <v>145</v>
      </c>
    </row>
    <row r="2" spans="1:6" x14ac:dyDescent="0.25">
      <c r="A2" s="8" t="s">
        <v>146</v>
      </c>
      <c r="B2" s="8" t="s">
        <v>21</v>
      </c>
      <c r="C2" s="8" t="s">
        <v>147</v>
      </c>
      <c r="D2" s="8" t="s">
        <v>148</v>
      </c>
      <c r="E2" s="8" t="s">
        <v>32</v>
      </c>
      <c r="F2" s="8" t="s">
        <v>121</v>
      </c>
    </row>
    <row r="3" spans="1:6" x14ac:dyDescent="0.25">
      <c r="A3" s="8" t="s">
        <v>149</v>
      </c>
      <c r="B3" s="8" t="s">
        <v>21</v>
      </c>
      <c r="C3" s="8" t="s">
        <v>150</v>
      </c>
      <c r="D3" s="8" t="s">
        <v>151</v>
      </c>
      <c r="E3" s="8" t="s">
        <v>152</v>
      </c>
      <c r="F3" s="8" t="s">
        <v>116</v>
      </c>
    </row>
    <row r="4" spans="1:6" x14ac:dyDescent="0.25">
      <c r="A4" s="8" t="s">
        <v>153</v>
      </c>
      <c r="B4" s="8" t="s">
        <v>20</v>
      </c>
      <c r="C4" s="8" t="s">
        <v>154</v>
      </c>
      <c r="D4" s="8" t="s">
        <v>155</v>
      </c>
      <c r="E4" s="8" t="s">
        <v>33</v>
      </c>
      <c r="F4" s="8" t="s">
        <v>156</v>
      </c>
    </row>
    <row r="5" spans="1:6" x14ac:dyDescent="0.25">
      <c r="A5" s="8" t="s">
        <v>157</v>
      </c>
      <c r="B5" s="8" t="s">
        <v>20</v>
      </c>
      <c r="C5" s="8" t="s">
        <v>158</v>
      </c>
      <c r="D5" s="8" t="s">
        <v>159</v>
      </c>
      <c r="E5" s="8" t="s">
        <v>33</v>
      </c>
      <c r="F5" s="8" t="s">
        <v>94</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2026-10-22T21:16:59Z</dcterms:created>
  <dcterms:modified xsi:type="dcterms:W3CDTF">2026-10-22T21:16:59Z</dcterms:modified>
</cp:coreProperties>
</file>